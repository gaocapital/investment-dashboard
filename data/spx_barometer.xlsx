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O\OneDrive - GAO\Documents\"/>
    </mc:Choice>
  </mc:AlternateContent>
  <xr:revisionPtr revIDLastSave="0" documentId="8_{848CF325-B8BA-4A43-8149-409258484398}" xr6:coauthVersionLast="47" xr6:coauthVersionMax="47" xr10:uidLastSave="{00000000-0000-0000-0000-000000000000}"/>
  <bookViews>
    <workbookView xWindow="-120" yWindow="-120" windowWidth="29040" windowHeight="15840" xr2:uid="{F002762E-D7A6-4B76-8756-A599D273A2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D273" i="1" a="1"/>
  <c r="H273" i="1" a="1"/>
  <c r="C273" i="1" a="1"/>
  <c r="G273" i="1" a="1"/>
  <c r="E273" i="1" a="1"/>
  <c r="F273" i="1" a="1"/>
  <c r="A3" i="1"/>
  <c r="H271" i="1" a="1"/>
  <c r="H270" i="1" a="1"/>
  <c r="G269" i="1" a="1"/>
  <c r="G268" i="1" a="1"/>
  <c r="F266" i="1" a="1"/>
  <c r="F265" i="1" a="1"/>
  <c r="E264" i="1" a="1"/>
  <c r="E263" i="1" a="1"/>
  <c r="D261" i="1" a="1"/>
  <c r="D260" i="1" a="1"/>
  <c r="C259" i="1" a="1"/>
  <c r="C258" i="1" a="1"/>
  <c r="H255" i="1" a="1"/>
  <c r="H254" i="1" a="1"/>
  <c r="G253" i="1" a="1"/>
  <c r="G252" i="1" a="1"/>
  <c r="F250" i="1" a="1"/>
  <c r="F249" i="1" a="1"/>
  <c r="E248" i="1" a="1"/>
  <c r="E247" i="1" a="1"/>
  <c r="D245" i="1" a="1"/>
  <c r="D244" i="1" a="1"/>
  <c r="C243" i="1" a="1"/>
  <c r="C242" i="1" a="1"/>
  <c r="H239" i="1" a="1"/>
  <c r="H238" i="1" a="1"/>
  <c r="G237" i="1" a="1"/>
  <c r="G236" i="1" a="1"/>
  <c r="F234" i="1" a="1"/>
  <c r="F233" i="1" a="1"/>
  <c r="E232" i="1" a="1"/>
  <c r="E231" i="1" a="1"/>
  <c r="D229" i="1" a="1"/>
  <c r="D228" i="1" a="1"/>
  <c r="C227" i="1" a="1"/>
  <c r="C226" i="1" a="1"/>
  <c r="H223" i="1" a="1"/>
  <c r="H222" i="1" a="1"/>
  <c r="G221" i="1" a="1"/>
  <c r="G220" i="1" a="1"/>
  <c r="F218" i="1" a="1"/>
  <c r="H272" i="1" a="1"/>
  <c r="G271" i="1" a="1"/>
  <c r="G270" i="1" a="1"/>
  <c r="F268" i="1" a="1"/>
  <c r="F267" i="1" a="1"/>
  <c r="E266" i="1" a="1"/>
  <c r="E265" i="1" a="1"/>
  <c r="D263" i="1" a="1"/>
  <c r="D262" i="1" a="1"/>
  <c r="C261" i="1" a="1"/>
  <c r="C260" i="1" a="1"/>
  <c r="H257" i="1" a="1"/>
  <c r="H256" i="1" a="1"/>
  <c r="G255" i="1" a="1"/>
  <c r="G254" i="1" a="1"/>
  <c r="F252" i="1" a="1"/>
  <c r="F251" i="1" a="1"/>
  <c r="E250" i="1" a="1"/>
  <c r="E249" i="1" a="1"/>
  <c r="D247" i="1" a="1"/>
  <c r="D246" i="1" a="1"/>
  <c r="C245" i="1" a="1"/>
  <c r="C244" i="1" a="1"/>
  <c r="H241" i="1" a="1"/>
  <c r="H240" i="1" a="1"/>
  <c r="G239" i="1" a="1"/>
  <c r="G238" i="1" a="1"/>
  <c r="F236" i="1" a="1"/>
  <c r="F235" i="1" a="1"/>
  <c r="E234" i="1" a="1"/>
  <c r="E233" i="1" a="1"/>
  <c r="D231" i="1" a="1"/>
  <c r="D230" i="1" a="1"/>
  <c r="C229" i="1" a="1"/>
  <c r="C228" i="1" a="1"/>
  <c r="H225" i="1" a="1"/>
  <c r="H224" i="1" a="1"/>
  <c r="G223" i="1" a="1"/>
  <c r="G222" i="1" a="1"/>
  <c r="F220" i="1" a="1"/>
  <c r="F219" i="1" a="1"/>
  <c r="E218" i="1" a="1"/>
  <c r="E217" i="1" a="1"/>
  <c r="G272" i="1" a="1"/>
  <c r="F270" i="1" a="1"/>
  <c r="F269" i="1" a="1"/>
  <c r="E268" i="1" a="1"/>
  <c r="E267" i="1" a="1"/>
  <c r="D265" i="1" a="1"/>
  <c r="D264" i="1" a="1"/>
  <c r="C263" i="1" a="1"/>
  <c r="C262" i="1" a="1"/>
  <c r="H259" i="1" a="1"/>
  <c r="H258" i="1" a="1"/>
  <c r="G257" i="1" a="1"/>
  <c r="G256" i="1" a="1"/>
  <c r="F254" i="1" a="1"/>
  <c r="F253" i="1" a="1"/>
  <c r="E252" i="1" a="1"/>
  <c r="E251" i="1" a="1"/>
  <c r="D249" i="1" a="1"/>
  <c r="D248" i="1" a="1"/>
  <c r="C247" i="1" a="1"/>
  <c r="C246" i="1" a="1"/>
  <c r="H243" i="1" a="1"/>
  <c r="H242" i="1" a="1"/>
  <c r="G241" i="1" a="1"/>
  <c r="G240" i="1" a="1"/>
  <c r="F238" i="1" a="1"/>
  <c r="F237" i="1" a="1"/>
  <c r="E236" i="1" a="1"/>
  <c r="E235" i="1" a="1"/>
  <c r="D233" i="1" a="1"/>
  <c r="D232" i="1" a="1"/>
  <c r="C231" i="1" a="1"/>
  <c r="C230" i="1" a="1"/>
  <c r="H227" i="1" a="1"/>
  <c r="H226" i="1" a="1"/>
  <c r="F272" i="1" a="1"/>
  <c r="F271" i="1" a="1"/>
  <c r="E270" i="1" a="1"/>
  <c r="E269" i="1" a="1"/>
  <c r="D267" i="1" a="1"/>
  <c r="D266" i="1" a="1"/>
  <c r="C265" i="1" a="1"/>
  <c r="C264" i="1" a="1"/>
  <c r="H261" i="1" a="1"/>
  <c r="H260" i="1" a="1"/>
  <c r="G259" i="1" a="1"/>
  <c r="G258" i="1" a="1"/>
  <c r="F256" i="1" a="1"/>
  <c r="F255" i="1" a="1"/>
  <c r="E254" i="1" a="1"/>
  <c r="E253" i="1" a="1"/>
  <c r="D251" i="1" a="1"/>
  <c r="D250" i="1" a="1"/>
  <c r="C249" i="1" a="1"/>
  <c r="C248" i="1" a="1"/>
  <c r="H245" i="1" a="1"/>
  <c r="H244" i="1" a="1"/>
  <c r="G243" i="1" a="1"/>
  <c r="G242" i="1" a="1"/>
  <c r="F240" i="1" a="1"/>
  <c r="F239" i="1" a="1"/>
  <c r="E238" i="1" a="1"/>
  <c r="E237" i="1" a="1"/>
  <c r="D235" i="1" a="1"/>
  <c r="D234" i="1" a="1"/>
  <c r="C233" i="1" a="1"/>
  <c r="C232" i="1" a="1"/>
  <c r="H229" i="1" a="1"/>
  <c r="H228" i="1" a="1"/>
  <c r="G227" i="1" a="1"/>
  <c r="G226" i="1" a="1"/>
  <c r="F224" i="1" a="1"/>
  <c r="F223" i="1" a="1"/>
  <c r="E272" i="1" a="1"/>
  <c r="E271" i="1" a="1"/>
  <c r="D269" i="1" a="1"/>
  <c r="D268" i="1" a="1"/>
  <c r="C267" i="1" a="1"/>
  <c r="C266" i="1" a="1"/>
  <c r="H263" i="1" a="1"/>
  <c r="H262" i="1" a="1"/>
  <c r="G261" i="1" a="1"/>
  <c r="G260" i="1" a="1"/>
  <c r="F258" i="1" a="1"/>
  <c r="F257" i="1" a="1"/>
  <c r="E256" i="1" a="1"/>
  <c r="E255" i="1" a="1"/>
  <c r="D253" i="1" a="1"/>
  <c r="D252" i="1" a="1"/>
  <c r="C251" i="1" a="1"/>
  <c r="C250" i="1" a="1"/>
  <c r="H247" i="1" a="1"/>
  <c r="H246" i="1" a="1"/>
  <c r="G245" i="1" a="1"/>
  <c r="G244" i="1" a="1"/>
  <c r="F242" i="1" a="1"/>
  <c r="F241" i="1" a="1"/>
  <c r="E240" i="1" a="1"/>
  <c r="E239" i="1" a="1"/>
  <c r="D237" i="1" a="1"/>
  <c r="D236" i="1" a="1"/>
  <c r="C235" i="1" a="1"/>
  <c r="C234" i="1" a="1"/>
  <c r="H231" i="1" a="1"/>
  <c r="H230" i="1" a="1"/>
  <c r="G229" i="1" a="1"/>
  <c r="G228" i="1" a="1"/>
  <c r="F226" i="1" a="1"/>
  <c r="F225" i="1" a="1"/>
  <c r="E224" i="1" a="1"/>
  <c r="D271" i="1" a="1"/>
  <c r="D270" i="1" a="1"/>
  <c r="C269" i="1" a="1"/>
  <c r="C268" i="1" a="1"/>
  <c r="H265" i="1" a="1"/>
  <c r="H264" i="1" a="1"/>
  <c r="G263" i="1" a="1"/>
  <c r="G262" i="1" a="1"/>
  <c r="F260" i="1" a="1"/>
  <c r="F259" i="1" a="1"/>
  <c r="E258" i="1" a="1"/>
  <c r="E257" i="1" a="1"/>
  <c r="D255" i="1" a="1"/>
  <c r="D254" i="1" a="1"/>
  <c r="C253" i="1" a="1"/>
  <c r="C252" i="1" a="1"/>
  <c r="H249" i="1" a="1"/>
  <c r="H248" i="1" a="1"/>
  <c r="G247" i="1" a="1"/>
  <c r="G246" i="1" a="1"/>
  <c r="F244" i="1" a="1"/>
  <c r="F243" i="1" a="1"/>
  <c r="E242" i="1" a="1"/>
  <c r="E241" i="1" a="1"/>
  <c r="D239" i="1" a="1"/>
  <c r="D238" i="1" a="1"/>
  <c r="C237" i="1" a="1"/>
  <c r="C236" i="1" a="1"/>
  <c r="H233" i="1" a="1"/>
  <c r="H232" i="1" a="1"/>
  <c r="G231" i="1" a="1"/>
  <c r="G230" i="1" a="1"/>
  <c r="F228" i="1" a="1"/>
  <c r="F227" i="1" a="1"/>
  <c r="E226" i="1" a="1"/>
  <c r="D272" i="1" a="1"/>
  <c r="C271" i="1" a="1"/>
  <c r="C270" i="1" a="1"/>
  <c r="H267" i="1" a="1"/>
  <c r="H266" i="1" a="1"/>
  <c r="G265" i="1" a="1"/>
  <c r="G264" i="1" a="1"/>
  <c r="F262" i="1" a="1"/>
  <c r="F261" i="1" a="1"/>
  <c r="E260" i="1" a="1"/>
  <c r="E259" i="1" a="1"/>
  <c r="D257" i="1" a="1"/>
  <c r="D256" i="1" a="1"/>
  <c r="C255" i="1" a="1"/>
  <c r="C254" i="1" a="1"/>
  <c r="H251" i="1" a="1"/>
  <c r="H250" i="1" a="1"/>
  <c r="G249" i="1" a="1"/>
  <c r="G248" i="1" a="1"/>
  <c r="F246" i="1" a="1"/>
  <c r="F245" i="1" a="1"/>
  <c r="E244" i="1" a="1"/>
  <c r="E243" i="1" a="1"/>
  <c r="D241" i="1" a="1"/>
  <c r="D240" i="1" a="1"/>
  <c r="C239" i="1" a="1"/>
  <c r="C238" i="1" a="1"/>
  <c r="H235" i="1" a="1"/>
  <c r="H234" i="1" a="1"/>
  <c r="G233" i="1" a="1"/>
  <c r="C272" i="1" a="1"/>
  <c r="F263" i="1" a="1"/>
  <c r="E246" i="1" a="1"/>
  <c r="H237" i="1" a="1"/>
  <c r="F231" i="1" a="1"/>
  <c r="D227" i="1" a="1"/>
  <c r="F222" i="1" a="1"/>
  <c r="D221" i="1" a="1"/>
  <c r="H219" i="1" a="1"/>
  <c r="C217" i="1" a="1"/>
  <c r="C216" i="1" a="1"/>
  <c r="F214" i="1" a="1"/>
  <c r="C213" i="1" a="1"/>
  <c r="D212" i="1" a="1"/>
  <c r="G210" i="1" a="1"/>
  <c r="D209" i="1" a="1"/>
  <c r="G207" i="1" a="1"/>
  <c r="H206" i="1" a="1"/>
  <c r="E205" i="1" a="1"/>
  <c r="H203" i="1" a="1"/>
  <c r="E202" i="1" a="1"/>
  <c r="F201" i="1" a="1"/>
  <c r="C200" i="1" a="1"/>
  <c r="F198" i="1" a="1"/>
  <c r="C197" i="1" a="1"/>
  <c r="D196" i="1" a="1"/>
  <c r="G194" i="1" a="1"/>
  <c r="D193" i="1" a="1"/>
  <c r="G191" i="1" a="1"/>
  <c r="H190" i="1" a="1"/>
  <c r="E189" i="1" a="1"/>
  <c r="H187" i="1" a="1"/>
  <c r="E262" i="1" a="1"/>
  <c r="H253" i="1" a="1"/>
  <c r="E245" i="1" a="1"/>
  <c r="H236" i="1" a="1"/>
  <c r="F230" i="1" a="1"/>
  <c r="D224" i="1" a="1"/>
  <c r="E222" i="1" a="1"/>
  <c r="C221" i="1" a="1"/>
  <c r="G219" i="1" a="1"/>
  <c r="D218" i="1" a="1"/>
  <c r="D215" i="1" a="1"/>
  <c r="G213" i="1" a="1"/>
  <c r="H212" i="1" a="1"/>
  <c r="E211" i="1" a="1"/>
  <c r="H209" i="1" a="1"/>
  <c r="E208" i="1" a="1"/>
  <c r="F207" i="1" a="1"/>
  <c r="C206" i="1" a="1"/>
  <c r="F204" i="1" a="1"/>
  <c r="C203" i="1" a="1"/>
  <c r="D202" i="1" a="1"/>
  <c r="G200" i="1" a="1"/>
  <c r="D199" i="1" a="1"/>
  <c r="G197" i="1" a="1"/>
  <c r="H196" i="1" a="1"/>
  <c r="E195" i="1" a="1"/>
  <c r="H193" i="1" a="1"/>
  <c r="E192" i="1" a="1"/>
  <c r="F191" i="1" a="1"/>
  <c r="C190" i="1" a="1"/>
  <c r="F188" i="1" a="1"/>
  <c r="C187" i="1" a="1"/>
  <c r="D186" i="1" a="1"/>
  <c r="F185" i="1" a="1"/>
  <c r="H184" i="1" a="1"/>
  <c r="D184" i="1" a="1"/>
  <c r="F183" i="1" a="1"/>
  <c r="H182" i="1" a="1"/>
  <c r="D182" i="1" a="1"/>
  <c r="F181" i="1" a="1"/>
  <c r="H180" i="1" a="1"/>
  <c r="D180" i="1" a="1"/>
  <c r="F179" i="1" a="1"/>
  <c r="H269" i="1" a="1"/>
  <c r="E261" i="1" a="1"/>
  <c r="H252" i="1" a="1"/>
  <c r="G235" i="1" a="1"/>
  <c r="E230" i="1" a="1"/>
  <c r="D226" i="1" a="1"/>
  <c r="C224" i="1" a="1"/>
  <c r="E219" i="1" a="1"/>
  <c r="C218" i="1" a="1"/>
  <c r="H216" i="1" a="1"/>
  <c r="H215" i="1" a="1"/>
  <c r="E214" i="1" a="1"/>
  <c r="F213" i="1" a="1"/>
  <c r="C212" i="1" a="1"/>
  <c r="F210" i="1" a="1"/>
  <c r="C209" i="1" a="1"/>
  <c r="D208" i="1" a="1"/>
  <c r="G206" i="1" a="1"/>
  <c r="D205" i="1" a="1"/>
  <c r="G203" i="1" a="1"/>
  <c r="H202" i="1" a="1"/>
  <c r="E201" i="1" a="1"/>
  <c r="H199" i="1" a="1"/>
  <c r="E198" i="1" a="1"/>
  <c r="F197" i="1" a="1"/>
  <c r="C196" i="1" a="1"/>
  <c r="F194" i="1" a="1"/>
  <c r="C193" i="1" a="1"/>
  <c r="D192" i="1" a="1"/>
  <c r="G190" i="1" a="1"/>
  <c r="D189" i="1" a="1"/>
  <c r="G187" i="1" a="1"/>
  <c r="H186" i="1" a="1"/>
  <c r="H268" i="1" a="1"/>
  <c r="G251" i="1" a="1"/>
  <c r="D243" i="1" a="1"/>
  <c r="G234" i="1" a="1"/>
  <c r="F229" i="1" a="1"/>
  <c r="G225" i="1" a="1"/>
  <c r="D222" i="1" a="1"/>
  <c r="H220" i="1" a="1"/>
  <c r="D219" i="1" a="1"/>
  <c r="H217" i="1" a="1"/>
  <c r="G216" i="1" a="1"/>
  <c r="C215" i="1" a="1"/>
  <c r="D214" i="1" a="1"/>
  <c r="G212" i="1" a="1"/>
  <c r="D211" i="1" a="1"/>
  <c r="G209" i="1" a="1"/>
  <c r="H208" i="1" a="1"/>
  <c r="E207" i="1" a="1"/>
  <c r="H205" i="1" a="1"/>
  <c r="E204" i="1" a="1"/>
  <c r="F203" i="1" a="1"/>
  <c r="C202" i="1" a="1"/>
  <c r="F200" i="1" a="1"/>
  <c r="C199" i="1" a="1"/>
  <c r="D198" i="1" a="1"/>
  <c r="G196" i="1" a="1"/>
  <c r="D195" i="1" a="1"/>
  <c r="G193" i="1" a="1"/>
  <c r="H192" i="1" a="1"/>
  <c r="E191" i="1" a="1"/>
  <c r="H189" i="1" a="1"/>
  <c r="E188" i="1" a="1"/>
  <c r="F187" i="1" a="1"/>
  <c r="C186" i="1" a="1"/>
  <c r="E185" i="1" a="1"/>
  <c r="G184" i="1" a="1"/>
  <c r="C184" i="1" a="1"/>
  <c r="E183" i="1" a="1"/>
  <c r="G182" i="1" a="1"/>
  <c r="C182" i="1" a="1"/>
  <c r="E181" i="1" a="1"/>
  <c r="G180" i="1" a="1"/>
  <c r="C180" i="1" a="1"/>
  <c r="E179" i="1" a="1"/>
  <c r="G267" i="1" a="1"/>
  <c r="D259" i="1" a="1"/>
  <c r="G250" i="1" a="1"/>
  <c r="D242" i="1" a="1"/>
  <c r="E229" i="1" a="1"/>
  <c r="E225" i="1" a="1"/>
  <c r="E223" i="1" a="1"/>
  <c r="C222" i="1" a="1"/>
  <c r="E220" i="1" a="1"/>
  <c r="C219" i="1" a="1"/>
  <c r="G217" i="1" a="1"/>
  <c r="F216" i="1" a="1"/>
  <c r="G215" i="1" a="1"/>
  <c r="H214" i="1" a="1"/>
  <c r="E213" i="1" a="1"/>
  <c r="H211" i="1" a="1"/>
  <c r="E210" i="1" a="1"/>
  <c r="F209" i="1" a="1"/>
  <c r="C208" i="1" a="1"/>
  <c r="F206" i="1" a="1"/>
  <c r="C205" i="1" a="1"/>
  <c r="D204" i="1" a="1"/>
  <c r="G202" i="1" a="1"/>
  <c r="D201" i="1" a="1"/>
  <c r="G199" i="1" a="1"/>
  <c r="H198" i="1" a="1"/>
  <c r="E197" i="1" a="1"/>
  <c r="H195" i="1" a="1"/>
  <c r="E194" i="1" a="1"/>
  <c r="F193" i="1" a="1"/>
  <c r="C192" i="1" a="1"/>
  <c r="F190" i="1" a="1"/>
  <c r="C189" i="1" a="1"/>
  <c r="D188" i="1" a="1"/>
  <c r="G186" i="1" a="1"/>
  <c r="G266" i="1" a="1"/>
  <c r="D258" i="1" a="1"/>
  <c r="C241" i="1" a="1"/>
  <c r="G232" i="1" a="1"/>
  <c r="E228" i="1" a="1"/>
  <c r="D225" i="1" a="1"/>
  <c r="D223" i="1" a="1"/>
  <c r="H221" i="1" a="1"/>
  <c r="E216" i="1" a="1"/>
  <c r="F215" i="1" a="1"/>
  <c r="C214" i="1" a="1"/>
  <c r="F212" i="1" a="1"/>
  <c r="C211" i="1" a="1"/>
  <c r="D210" i="1" a="1"/>
  <c r="G208" i="1" a="1"/>
  <c r="D207" i="1" a="1"/>
  <c r="G205" i="1" a="1"/>
  <c r="H204" i="1" a="1"/>
  <c r="E203" i="1" a="1"/>
  <c r="H201" i="1" a="1"/>
  <c r="E200" i="1" a="1"/>
  <c r="F199" i="1" a="1"/>
  <c r="C198" i="1" a="1"/>
  <c r="F196" i="1" a="1"/>
  <c r="C195" i="1" a="1"/>
  <c r="D194" i="1" a="1"/>
  <c r="G192" i="1" a="1"/>
  <c r="D191" i="1" a="1"/>
  <c r="G189" i="1" a="1"/>
  <c r="H188" i="1" a="1"/>
  <c r="E187" i="1" a="1"/>
  <c r="H185" i="1" a="1"/>
  <c r="D185" i="1" a="1"/>
  <c r="F184" i="1" a="1"/>
  <c r="H183" i="1" a="1"/>
  <c r="D183" i="1" a="1"/>
  <c r="F182" i="1" a="1"/>
  <c r="H181" i="1" a="1"/>
  <c r="D181" i="1" a="1"/>
  <c r="F180" i="1" a="1"/>
  <c r="H179" i="1" a="1"/>
  <c r="C257" i="1" a="1"/>
  <c r="F248" i="1" a="1"/>
  <c r="C240" i="1" a="1"/>
  <c r="F232" i="1" a="1"/>
  <c r="C225" i="1" a="1"/>
  <c r="C223" i="1" a="1"/>
  <c r="F221" i="1" a="1"/>
  <c r="D220" i="1" a="1"/>
  <c r="H218" i="1" a="1"/>
  <c r="F217" i="1" a="1"/>
  <c r="D216" i="1" a="1"/>
  <c r="G214" i="1" a="1"/>
  <c r="D213" i="1" a="1"/>
  <c r="G211" i="1" a="1"/>
  <c r="H210" i="1" a="1"/>
  <c r="E209" i="1" a="1"/>
  <c r="H207" i="1" a="1"/>
  <c r="E206" i="1" a="1"/>
  <c r="F205" i="1" a="1"/>
  <c r="C204" i="1" a="1"/>
  <c r="F202" i="1" a="1"/>
  <c r="C201" i="1" a="1"/>
  <c r="D200" i="1" a="1"/>
  <c r="G198" i="1" a="1"/>
  <c r="D197" i="1" a="1"/>
  <c r="G195" i="1" a="1"/>
  <c r="H194" i="1" a="1"/>
  <c r="E193" i="1" a="1"/>
  <c r="H191" i="1" a="1"/>
  <c r="E190" i="1" a="1"/>
  <c r="F189" i="1" a="1"/>
  <c r="C188" i="1" a="1"/>
  <c r="F186" i="1" a="1"/>
  <c r="F264" i="1" a="1"/>
  <c r="E221" i="1" a="1"/>
  <c r="C207" i="1" a="1"/>
  <c r="H200" i="1" a="1"/>
  <c r="G188" i="1" a="1"/>
  <c r="C185" i="1" a="1"/>
  <c r="E182" i="1" a="1"/>
  <c r="G179" i="1" a="1"/>
  <c r="E178" i="1" a="1"/>
  <c r="E177" i="1" a="1"/>
  <c r="D175" i="1" a="1"/>
  <c r="D174" i="1" a="1"/>
  <c r="C173" i="1" a="1"/>
  <c r="C172" i="1" a="1"/>
  <c r="H169" i="1" a="1"/>
  <c r="H168" i="1" a="1"/>
  <c r="G167" i="1" a="1"/>
  <c r="G166" i="1" a="1"/>
  <c r="F164" i="1" a="1"/>
  <c r="F163" i="1" a="1"/>
  <c r="E162" i="1" a="1"/>
  <c r="E161" i="1" a="1"/>
  <c r="D159" i="1" a="1"/>
  <c r="D158" i="1" a="1"/>
  <c r="C157" i="1" a="1"/>
  <c r="C156" i="1" a="1"/>
  <c r="H153" i="1" a="1"/>
  <c r="C152" i="1" a="1"/>
  <c r="D151" i="1" a="1"/>
  <c r="E149" i="1" a="1"/>
  <c r="F148" i="1" a="1"/>
  <c r="G146" i="1" a="1"/>
  <c r="H145" i="1" a="1"/>
  <c r="C144" i="1" a="1"/>
  <c r="D143" i="1" a="1"/>
  <c r="E141" i="1" a="1"/>
  <c r="F140" i="1" a="1"/>
  <c r="G138" i="1" a="1"/>
  <c r="H137" i="1" a="1"/>
  <c r="C136" i="1" a="1"/>
  <c r="D135" i="1" a="1"/>
  <c r="E133" i="1" a="1"/>
  <c r="F132" i="1" a="1"/>
  <c r="G130" i="1" a="1"/>
  <c r="H129" i="1" a="1"/>
  <c r="C128" i="1" a="1"/>
  <c r="D127" i="1" a="1"/>
  <c r="E125" i="1" a="1"/>
  <c r="F124" i="1" a="1"/>
  <c r="G122" i="1" a="1"/>
  <c r="H121" i="1" a="1"/>
  <c r="C120" i="1" a="1"/>
  <c r="D119" i="1" a="1"/>
  <c r="E117" i="1" a="1"/>
  <c r="F116" i="1" a="1"/>
  <c r="G114" i="1" a="1"/>
  <c r="H113" i="1" a="1"/>
  <c r="C112" i="1" a="1"/>
  <c r="D111" i="1" a="1"/>
  <c r="E109" i="1" a="1"/>
  <c r="F108" i="1" a="1"/>
  <c r="G106" i="1" a="1"/>
  <c r="H105" i="1" a="1"/>
  <c r="C104" i="1" a="1"/>
  <c r="D103" i="1" a="1"/>
  <c r="E101" i="1" a="1"/>
  <c r="F100" i="1" a="1"/>
  <c r="C256" i="1" a="1"/>
  <c r="C220" i="1" a="1"/>
  <c r="E212" i="1" a="1"/>
  <c r="D206" i="1" a="1"/>
  <c r="C194" i="1" a="1"/>
  <c r="D177" i="1" a="1"/>
  <c r="D176" i="1" a="1"/>
  <c r="C175" i="1" a="1"/>
  <c r="C174" i="1" a="1"/>
  <c r="H171" i="1" a="1"/>
  <c r="H170" i="1" a="1"/>
  <c r="G169" i="1" a="1"/>
  <c r="G168" i="1" a="1"/>
  <c r="F166" i="1" a="1"/>
  <c r="F165" i="1" a="1"/>
  <c r="E164" i="1" a="1"/>
  <c r="E163" i="1" a="1"/>
  <c r="D161" i="1" a="1"/>
  <c r="D160" i="1" a="1"/>
  <c r="C159" i="1" a="1"/>
  <c r="C158" i="1" a="1"/>
  <c r="H155" i="1" a="1"/>
  <c r="H154" i="1" a="1"/>
  <c r="G153" i="1" a="1"/>
  <c r="H152" i="1" a="1"/>
  <c r="C151" i="1" a="1"/>
  <c r="D150" i="1" a="1"/>
  <c r="E148" i="1" a="1"/>
  <c r="F147" i="1" a="1"/>
  <c r="G145" i="1" a="1"/>
  <c r="H144" i="1" a="1"/>
  <c r="C143" i="1" a="1"/>
  <c r="D142" i="1" a="1"/>
  <c r="E140" i="1" a="1"/>
  <c r="F139" i="1" a="1"/>
  <c r="G137" i="1" a="1"/>
  <c r="H136" i="1" a="1"/>
  <c r="C135" i="1" a="1"/>
  <c r="D134" i="1" a="1"/>
  <c r="E132" i="1" a="1"/>
  <c r="F131" i="1" a="1"/>
  <c r="G129" i="1" a="1"/>
  <c r="H128" i="1" a="1"/>
  <c r="C127" i="1" a="1"/>
  <c r="D126" i="1" a="1"/>
  <c r="E124" i="1" a="1"/>
  <c r="F123" i="1" a="1"/>
  <c r="G121" i="1" a="1"/>
  <c r="H120" i="1" a="1"/>
  <c r="C119" i="1" a="1"/>
  <c r="D118" i="1" a="1"/>
  <c r="E116" i="1" a="1"/>
  <c r="F115" i="1" a="1"/>
  <c r="G113" i="1" a="1"/>
  <c r="H112" i="1" a="1"/>
  <c r="F247" i="1" a="1"/>
  <c r="G218" i="1" a="1"/>
  <c r="F211" i="1" a="1"/>
  <c r="E199" i="1" a="1"/>
  <c r="D187" i="1" a="1"/>
  <c r="E184" i="1" a="1"/>
  <c r="G181" i="1" a="1"/>
  <c r="D179" i="1" a="1"/>
  <c r="D178" i="1" a="1"/>
  <c r="C177" i="1" a="1"/>
  <c r="C176" i="1" a="1"/>
  <c r="H173" i="1" a="1"/>
  <c r="H172" i="1" a="1"/>
  <c r="G171" i="1" a="1"/>
  <c r="G170" i="1" a="1"/>
  <c r="F168" i="1" a="1"/>
  <c r="F167" i="1" a="1"/>
  <c r="E166" i="1" a="1"/>
  <c r="E165" i="1" a="1"/>
  <c r="D163" i="1" a="1"/>
  <c r="D162" i="1" a="1"/>
  <c r="C161" i="1" a="1"/>
  <c r="C160" i="1" a="1"/>
  <c r="H157" i="1" a="1"/>
  <c r="H156" i="1" a="1"/>
  <c r="G155" i="1" a="1"/>
  <c r="G154" i="1" a="1"/>
  <c r="G152" i="1" a="1"/>
  <c r="H151" i="1" a="1"/>
  <c r="C150" i="1" a="1"/>
  <c r="D149" i="1" a="1"/>
  <c r="E147" i="1" a="1"/>
  <c r="F146" i="1" a="1"/>
  <c r="G144" i="1" a="1"/>
  <c r="H143" i="1" a="1"/>
  <c r="C142" i="1" a="1"/>
  <c r="D141" i="1" a="1"/>
  <c r="E139" i="1" a="1"/>
  <c r="F138" i="1" a="1"/>
  <c r="G136" i="1" a="1"/>
  <c r="H135" i="1" a="1"/>
  <c r="C134" i="1" a="1"/>
  <c r="D133" i="1" a="1"/>
  <c r="E131" i="1" a="1"/>
  <c r="F130" i="1" a="1"/>
  <c r="G128" i="1" a="1"/>
  <c r="H127" i="1" a="1"/>
  <c r="C126" i="1" a="1"/>
  <c r="D125" i="1" a="1"/>
  <c r="E123" i="1" a="1"/>
  <c r="F122" i="1" a="1"/>
  <c r="G120" i="1" a="1"/>
  <c r="H119" i="1" a="1"/>
  <c r="C118" i="1" a="1"/>
  <c r="D117" i="1" a="1"/>
  <c r="E115" i="1" a="1"/>
  <c r="F114" i="1" a="1"/>
  <c r="G112" i="1" a="1"/>
  <c r="H111" i="1" a="1"/>
  <c r="D217" i="1" a="1"/>
  <c r="G204" i="1" a="1"/>
  <c r="F192" i="1" a="1"/>
  <c r="C179" i="1" a="1"/>
  <c r="C178" i="1" a="1"/>
  <c r="H175" i="1" a="1"/>
  <c r="H174" i="1" a="1"/>
  <c r="G173" i="1" a="1"/>
  <c r="G172" i="1" a="1"/>
  <c r="F170" i="1" a="1"/>
  <c r="F169" i="1" a="1"/>
  <c r="E168" i="1" a="1"/>
  <c r="E167" i="1" a="1"/>
  <c r="D165" i="1" a="1"/>
  <c r="D164" i="1" a="1"/>
  <c r="C163" i="1" a="1"/>
  <c r="C162" i="1" a="1"/>
  <c r="H159" i="1" a="1"/>
  <c r="H158" i="1" a="1"/>
  <c r="G157" i="1" a="1"/>
  <c r="G156" i="1" a="1"/>
  <c r="F154" i="1" a="1"/>
  <c r="F153" i="1" a="1"/>
  <c r="G151" i="1" a="1"/>
  <c r="H150" i="1" a="1"/>
  <c r="C149" i="1" a="1"/>
  <c r="D148" i="1" a="1"/>
  <c r="E146" i="1" a="1"/>
  <c r="F145" i="1" a="1"/>
  <c r="G143" i="1" a="1"/>
  <c r="H142" i="1" a="1"/>
  <c r="C141" i="1" a="1"/>
  <c r="D140" i="1" a="1"/>
  <c r="E138" i="1" a="1"/>
  <c r="F137" i="1" a="1"/>
  <c r="G135" i="1" a="1"/>
  <c r="H134" i="1" a="1"/>
  <c r="C133" i="1" a="1"/>
  <c r="D132" i="1" a="1"/>
  <c r="E130" i="1" a="1"/>
  <c r="F129" i="1" a="1"/>
  <c r="G127" i="1" a="1"/>
  <c r="H126" i="1" a="1"/>
  <c r="C125" i="1" a="1"/>
  <c r="D124" i="1" a="1"/>
  <c r="E122" i="1" a="1"/>
  <c r="F121" i="1" a="1"/>
  <c r="G119" i="1" a="1"/>
  <c r="H118" i="1" a="1"/>
  <c r="C117" i="1" a="1"/>
  <c r="D116" i="1" a="1"/>
  <c r="E114" i="1" a="1"/>
  <c r="F113" i="1" a="1"/>
  <c r="C210" i="1" a="1"/>
  <c r="H197" i="1" a="1"/>
  <c r="G183" i="1" a="1"/>
  <c r="C181" i="1" a="1"/>
  <c r="H177" i="1" a="1"/>
  <c r="H176" i="1" a="1"/>
  <c r="G175" i="1" a="1"/>
  <c r="G174" i="1" a="1"/>
  <c r="F172" i="1" a="1"/>
  <c r="F171" i="1" a="1"/>
  <c r="E170" i="1" a="1"/>
  <c r="E169" i="1" a="1"/>
  <c r="D167" i="1" a="1"/>
  <c r="D166" i="1" a="1"/>
  <c r="C165" i="1" a="1"/>
  <c r="C164" i="1" a="1"/>
  <c r="H161" i="1" a="1"/>
  <c r="H160" i="1" a="1"/>
  <c r="G159" i="1" a="1"/>
  <c r="G158" i="1" a="1"/>
  <c r="F156" i="1" a="1"/>
  <c r="F155" i="1" a="1"/>
  <c r="E154" i="1" a="1"/>
  <c r="E153" i="1" a="1"/>
  <c r="F152" i="1" a="1"/>
  <c r="G150" i="1" a="1"/>
  <c r="H149" i="1" a="1"/>
  <c r="C148" i="1" a="1"/>
  <c r="D147" i="1" a="1"/>
  <c r="E145" i="1" a="1"/>
  <c r="F144" i="1" a="1"/>
  <c r="G142" i="1" a="1"/>
  <c r="H141" i="1" a="1"/>
  <c r="C140" i="1" a="1"/>
  <c r="D139" i="1" a="1"/>
  <c r="E137" i="1" a="1"/>
  <c r="F136" i="1" a="1"/>
  <c r="G134" i="1" a="1"/>
  <c r="H133" i="1" a="1"/>
  <c r="C132" i="1" a="1"/>
  <c r="D131" i="1" a="1"/>
  <c r="E129" i="1" a="1"/>
  <c r="F128" i="1" a="1"/>
  <c r="G126" i="1" a="1"/>
  <c r="H125" i="1" a="1"/>
  <c r="C124" i="1" a="1"/>
  <c r="E227" i="1" a="1"/>
  <c r="E215" i="1" a="1"/>
  <c r="D203" i="1" a="1"/>
  <c r="C191" i="1" a="1"/>
  <c r="E186" i="1" a="1"/>
  <c r="H178" i="1" a="1"/>
  <c r="G177" i="1" a="1"/>
  <c r="G176" i="1" a="1"/>
  <c r="F174" i="1" a="1"/>
  <c r="F173" i="1" a="1"/>
  <c r="E172" i="1" a="1"/>
  <c r="E171" i="1" a="1"/>
  <c r="D169" i="1" a="1"/>
  <c r="D168" i="1" a="1"/>
  <c r="C167" i="1" a="1"/>
  <c r="C166" i="1" a="1"/>
  <c r="H163" i="1" a="1"/>
  <c r="H162" i="1" a="1"/>
  <c r="G161" i="1" a="1"/>
  <c r="G160" i="1" a="1"/>
  <c r="F158" i="1" a="1"/>
  <c r="F157" i="1" a="1"/>
  <c r="E156" i="1" a="1"/>
  <c r="G224" i="1" a="1"/>
  <c r="F208" i="1" a="1"/>
  <c r="E196" i="1" a="1"/>
  <c r="D190" i="1" a="1"/>
  <c r="G185" i="1" a="1"/>
  <c r="C183" i="1" a="1"/>
  <c r="E180" i="1" a="1"/>
  <c r="G178" i="1" a="1"/>
  <c r="F176" i="1" a="1"/>
  <c r="F175" i="1" a="1"/>
  <c r="E174" i="1" a="1"/>
  <c r="E173" i="1" a="1"/>
  <c r="D171" i="1" a="1"/>
  <c r="D170" i="1" a="1"/>
  <c r="C169" i="1" a="1"/>
  <c r="C168" i="1" a="1"/>
  <c r="H165" i="1" a="1"/>
  <c r="H164" i="1" a="1"/>
  <c r="G163" i="1" a="1"/>
  <c r="G162" i="1" a="1"/>
  <c r="F160" i="1" a="1"/>
  <c r="F159" i="1" a="1"/>
  <c r="E158" i="1" a="1"/>
  <c r="E157" i="1" a="1"/>
  <c r="D155" i="1" a="1"/>
  <c r="D154" i="1" a="1"/>
  <c r="D153" i="1" a="1"/>
  <c r="E151" i="1" a="1"/>
  <c r="F150" i="1" a="1"/>
  <c r="G148" i="1" a="1"/>
  <c r="H147" i="1" a="1"/>
  <c r="C146" i="1" a="1"/>
  <c r="D145" i="1" a="1"/>
  <c r="E143" i="1" a="1"/>
  <c r="F142" i="1" a="1"/>
  <c r="G140" i="1" a="1"/>
  <c r="H139" i="1" a="1"/>
  <c r="C138" i="1" a="1"/>
  <c r="D137" i="1" a="1"/>
  <c r="E135" i="1" a="1"/>
  <c r="F134" i="1" a="1"/>
  <c r="G132" i="1" a="1"/>
  <c r="H131" i="1" a="1"/>
  <c r="C130" i="1" a="1"/>
  <c r="D129" i="1" a="1"/>
  <c r="E127" i="1" a="1"/>
  <c r="F126" i="1" a="1"/>
  <c r="G124" i="1" a="1"/>
  <c r="H123" i="1" a="1"/>
  <c r="C122" i="1" a="1"/>
  <c r="D121" i="1" a="1"/>
  <c r="E119" i="1" a="1"/>
  <c r="F118" i="1" a="1"/>
  <c r="G116" i="1" a="1"/>
  <c r="H115" i="1" a="1"/>
  <c r="C114" i="1" a="1"/>
  <c r="D113" i="1" a="1"/>
  <c r="E111" i="1" a="1"/>
  <c r="F110" i="1" a="1"/>
  <c r="C171" i="1" a="1"/>
  <c r="F162" i="1" a="1"/>
  <c r="C155" i="1" a="1"/>
  <c r="G147" i="1" a="1"/>
  <c r="D144" i="1" a="1"/>
  <c r="C137" i="1" a="1"/>
  <c r="F133" i="1" a="1"/>
  <c r="E126" i="1" a="1"/>
  <c r="C123" i="1" a="1"/>
  <c r="F120" i="1" a="1"/>
  <c r="E118" i="1" a="1"/>
  <c r="E113" i="1" a="1"/>
  <c r="E110" i="1" a="1"/>
  <c r="D102" i="1" a="1"/>
  <c r="D101" i="1" a="1"/>
  <c r="D100" i="1" a="1"/>
  <c r="G98" i="1" a="1"/>
  <c r="D97" i="1" a="1"/>
  <c r="E96" i="1" a="1"/>
  <c r="H94" i="1" a="1"/>
  <c r="E93" i="1" a="1"/>
  <c r="H91" i="1" a="1"/>
  <c r="C79" i="1" a="1"/>
  <c r="E74" i="1" a="1"/>
  <c r="G73" i="1" a="1"/>
  <c r="C73" i="1" a="1"/>
  <c r="E72" i="1" a="1"/>
  <c r="G71" i="1" a="1"/>
  <c r="C71" i="1" a="1"/>
  <c r="E70" i="1" a="1"/>
  <c r="H213" i="1" a="1"/>
  <c r="F178" i="1" a="1"/>
  <c r="C170" i="1" a="1"/>
  <c r="F161" i="1" a="1"/>
  <c r="C147" i="1" a="1"/>
  <c r="F143" i="1" a="1"/>
  <c r="E136" i="1" a="1"/>
  <c r="H132" i="1" a="1"/>
  <c r="G125" i="1" a="1"/>
  <c r="H122" i="1" a="1"/>
  <c r="E120" i="1" a="1"/>
  <c r="H117" i="1" a="1"/>
  <c r="G115" i="1" a="1"/>
  <c r="F111" i="1" a="1"/>
  <c r="D110" i="1" a="1"/>
  <c r="D109" i="1" a="1"/>
  <c r="D108" i="1" a="1"/>
  <c r="D107" i="1" a="1"/>
  <c r="D106" i="1" a="1"/>
  <c r="D105" i="1" a="1"/>
  <c r="D104" i="1" a="1"/>
  <c r="C103" i="1" a="1"/>
  <c r="C102" i="1" a="1"/>
  <c r="C101" i="1" a="1"/>
  <c r="E99" i="1" a="1"/>
  <c r="H97" i="1" a="1"/>
  <c r="C97" i="1" a="1"/>
  <c r="F95" i="1" a="1"/>
  <c r="C94" i="1" a="1"/>
  <c r="F92" i="1" a="1"/>
  <c r="G91" i="1" a="1"/>
  <c r="C91" i="1" a="1"/>
  <c r="E90" i="1" a="1"/>
  <c r="G89" i="1" a="1"/>
  <c r="C89" i="1" a="1"/>
  <c r="E88" i="1" a="1"/>
  <c r="G87" i="1" a="1"/>
  <c r="C87" i="1" a="1"/>
  <c r="E86" i="1" a="1"/>
  <c r="G85" i="1" a="1"/>
  <c r="C85" i="1" a="1"/>
  <c r="E84" i="1" a="1"/>
  <c r="G83" i="1" a="1"/>
  <c r="C83" i="1" a="1"/>
  <c r="E82" i="1" a="1"/>
  <c r="G81" i="1" a="1"/>
  <c r="C81" i="1" a="1"/>
  <c r="E80" i="1" a="1"/>
  <c r="G79" i="1" a="1"/>
  <c r="E78" i="1" a="1"/>
  <c r="G77" i="1" a="1"/>
  <c r="C77" i="1" a="1"/>
  <c r="E76" i="1" a="1"/>
  <c r="G75" i="1" a="1"/>
  <c r="C75" i="1" a="1"/>
  <c r="G69" i="1" a="1"/>
  <c r="F177" i="1" a="1"/>
  <c r="E160" i="1" a="1"/>
  <c r="C154" i="1" a="1"/>
  <c r="E150" i="1" a="1"/>
  <c r="H146" i="1" a="1"/>
  <c r="G139" i="1" a="1"/>
  <c r="D136" i="1" a="1"/>
  <c r="C129" i="1" a="1"/>
  <c r="F125" i="1" a="1"/>
  <c r="D120" i="1" a="1"/>
  <c r="G117" i="1" a="1"/>
  <c r="D115" i="1" a="1"/>
  <c r="C113" i="1" a="1"/>
  <c r="C110" i="1" a="1"/>
  <c r="C109" i="1" a="1"/>
  <c r="C108" i="1" a="1"/>
  <c r="C107" i="1" a="1"/>
  <c r="C106" i="1" a="1"/>
  <c r="C105" i="1" a="1"/>
  <c r="C100" i="1" a="1"/>
  <c r="F98" i="1" a="1"/>
  <c r="G97" i="1" a="1"/>
  <c r="D96" i="1" a="1"/>
  <c r="G94" i="1" a="1"/>
  <c r="D93" i="1" a="1"/>
  <c r="E92" i="1" a="1"/>
  <c r="G201" i="1" a="1"/>
  <c r="E176" i="1" a="1"/>
  <c r="H167" i="1" a="1"/>
  <c r="E159" i="1" a="1"/>
  <c r="G149" i="1" a="1"/>
  <c r="D146" i="1" a="1"/>
  <c r="C139" i="1" a="1"/>
  <c r="F135" i="1" a="1"/>
  <c r="E128" i="1" a="1"/>
  <c r="H124" i="1" a="1"/>
  <c r="D122" i="1" a="1"/>
  <c r="F117" i="1" a="1"/>
  <c r="C115" i="1" a="1"/>
  <c r="F112" i="1" a="1"/>
  <c r="C111" i="1" a="1"/>
  <c r="H104" i="1" a="1"/>
  <c r="H103" i="1" a="1"/>
  <c r="H102" i="1" a="1"/>
  <c r="H101" i="1" a="1"/>
  <c r="H100" i="1" a="1"/>
  <c r="D99" i="1" a="1"/>
  <c r="E98" i="1" a="1"/>
  <c r="H96" i="1" a="1"/>
  <c r="E95" i="1" a="1"/>
  <c r="H93" i="1" a="1"/>
  <c r="C93" i="1" a="1"/>
  <c r="F91" i="1" a="1"/>
  <c r="H90" i="1" a="1"/>
  <c r="D90" i="1" a="1"/>
  <c r="F89" i="1" a="1"/>
  <c r="H88" i="1" a="1"/>
  <c r="D88" i="1" a="1"/>
  <c r="F87" i="1" a="1"/>
  <c r="H86" i="1" a="1"/>
  <c r="D86" i="1" a="1"/>
  <c r="F85" i="1" a="1"/>
  <c r="H84" i="1" a="1"/>
  <c r="D84" i="1" a="1"/>
  <c r="F83" i="1" a="1"/>
  <c r="H82" i="1" a="1"/>
  <c r="D82" i="1" a="1"/>
  <c r="F81" i="1" a="1"/>
  <c r="H80" i="1" a="1"/>
  <c r="D80" i="1" a="1"/>
  <c r="F79" i="1" a="1"/>
  <c r="H78" i="1" a="1"/>
  <c r="D78" i="1" a="1"/>
  <c r="F77" i="1" a="1"/>
  <c r="H76" i="1" a="1"/>
  <c r="D76" i="1" a="1"/>
  <c r="F75" i="1" a="1"/>
  <c r="H74" i="1" a="1"/>
  <c r="D74" i="1" a="1"/>
  <c r="F73" i="1" a="1"/>
  <c r="H72" i="1" a="1"/>
  <c r="D72" i="1" a="1"/>
  <c r="F71" i="1" a="1"/>
  <c r="H70" i="1" a="1"/>
  <c r="D70" i="1" a="1"/>
  <c r="F195" i="1" a="1"/>
  <c r="E175" i="1" a="1"/>
  <c r="H166" i="1" a="1"/>
  <c r="C153" i="1" a="1"/>
  <c r="F149" i="1" a="1"/>
  <c r="E142" i="1" a="1"/>
  <c r="H138" i="1" a="1"/>
  <c r="G131" i="1" a="1"/>
  <c r="D128" i="1" a="1"/>
  <c r="F119" i="1" a="1"/>
  <c r="H114" i="1" a="1"/>
  <c r="E112" i="1" a="1"/>
  <c r="H109" i="1" a="1"/>
  <c r="H108" i="1" a="1"/>
  <c r="H107" i="1" a="1"/>
  <c r="H106" i="1" a="1"/>
  <c r="G105" i="1" a="1"/>
  <c r="G104" i="1" a="1"/>
  <c r="G103" i="1" a="1"/>
  <c r="G102" i="1" a="1"/>
  <c r="G101" i="1" a="1"/>
  <c r="G100" i="1" a="1"/>
  <c r="H99" i="1" a="1"/>
  <c r="C99" i="1" a="1"/>
  <c r="F97" i="1" a="1"/>
  <c r="C96" i="1" a="1"/>
  <c r="F94" i="1" a="1"/>
  <c r="G93" i="1" a="1"/>
  <c r="D92" i="1" a="1"/>
  <c r="G165" i="1" a="1"/>
  <c r="D157" i="1" a="1"/>
  <c r="E152" i="1" a="1"/>
  <c r="H148" i="1" a="1"/>
  <c r="G141" i="1" a="1"/>
  <c r="D138" i="1" a="1"/>
  <c r="C131" i="1" a="1"/>
  <c r="F127" i="1" a="1"/>
  <c r="E121" i="1" a="1"/>
  <c r="H116" i="1" a="1"/>
  <c r="D112" i="1" a="1"/>
  <c r="H110" i="1" a="1"/>
  <c r="G109" i="1" a="1"/>
  <c r="G108" i="1" a="1"/>
  <c r="G107" i="1" a="1"/>
  <c r="G99" i="1" a="1"/>
  <c r="D98" i="1" a="1"/>
  <c r="G96" i="1" a="1"/>
  <c r="D95" i="1" a="1"/>
  <c r="E94" i="1" a="1"/>
  <c r="H92" i="1" a="1"/>
  <c r="E91" i="1" a="1"/>
  <c r="G90" i="1" a="1"/>
  <c r="C90" i="1" a="1"/>
  <c r="E89" i="1" a="1"/>
  <c r="G88" i="1" a="1"/>
  <c r="C88" i="1" a="1"/>
  <c r="E87" i="1" a="1"/>
  <c r="G86" i="1" a="1"/>
  <c r="C86" i="1" a="1"/>
  <c r="E85" i="1" a="1"/>
  <c r="G84" i="1" a="1"/>
  <c r="C84" i="1" a="1"/>
  <c r="E83" i="1" a="1"/>
  <c r="G82" i="1" a="1"/>
  <c r="C82" i="1" a="1"/>
  <c r="E81" i="1" a="1"/>
  <c r="G80" i="1" a="1"/>
  <c r="C80" i="1" a="1"/>
  <c r="E79" i="1" a="1"/>
  <c r="G78" i="1" a="1"/>
  <c r="D173" i="1" a="1"/>
  <c r="G164" i="1" a="1"/>
  <c r="D156" i="1" a="1"/>
  <c r="D152" i="1" a="1"/>
  <c r="C145" i="1" a="1"/>
  <c r="F141" i="1" a="1"/>
  <c r="E134" i="1" a="1"/>
  <c r="H130" i="1" a="1"/>
  <c r="G123" i="1" a="1"/>
  <c r="G118" i="1" a="1"/>
  <c r="D114" i="1" a="1"/>
  <c r="G110" i="1" a="1"/>
  <c r="F107" i="1" a="1"/>
  <c r="F106" i="1" a="1"/>
  <c r="F105" i="1" a="1"/>
  <c r="F104" i="1" a="1"/>
  <c r="F103" i="1" a="1"/>
  <c r="F102" i="1" a="1"/>
  <c r="F101" i="1" a="1"/>
  <c r="E100" i="1" a="1"/>
  <c r="H98" i="1" a="1"/>
  <c r="E97" i="1" a="1"/>
  <c r="H95" i="1" a="1"/>
  <c r="C95" i="1" a="1"/>
  <c r="F93" i="1" a="1"/>
  <c r="C92" i="1" a="1"/>
  <c r="D172" i="1" a="1"/>
  <c r="E155" i="1" a="1"/>
  <c r="F151" i="1" a="1"/>
  <c r="D123" i="1" a="1"/>
  <c r="E108" i="1" a="1"/>
  <c r="D94" i="1" a="1"/>
  <c r="F88" i="1" a="1"/>
  <c r="D83" i="1" a="1"/>
  <c r="C78" i="1" a="1"/>
  <c r="E75" i="1" a="1"/>
  <c r="G72" i="1" a="1"/>
  <c r="C70" i="1" a="1"/>
  <c r="F68" i="1" a="1"/>
  <c r="D67" i="1" a="1"/>
  <c r="H65" i="1" a="1"/>
  <c r="F64" i="1" a="1"/>
  <c r="D63" i="1" a="1"/>
  <c r="H61" i="1" a="1"/>
  <c r="F60" i="1" a="1"/>
  <c r="D59" i="1" a="1"/>
  <c r="H57" i="1" a="1"/>
  <c r="F56" i="1" a="1"/>
  <c r="D55" i="1" a="1"/>
  <c r="H53" i="1" a="1"/>
  <c r="F52" i="1" a="1"/>
  <c r="D51" i="1" a="1"/>
  <c r="H49" i="1" a="1"/>
  <c r="F48" i="1" a="1"/>
  <c r="D47" i="1" a="1"/>
  <c r="H45" i="1" a="1"/>
  <c r="F44" i="1" a="1"/>
  <c r="D43" i="1" a="1"/>
  <c r="H41" i="1" a="1"/>
  <c r="F40" i="1" a="1"/>
  <c r="D39" i="1" a="1"/>
  <c r="H37" i="1" a="1"/>
  <c r="F36" i="1" a="1"/>
  <c r="D35" i="1" a="1"/>
  <c r="H33" i="1" a="1"/>
  <c r="F32" i="1" a="1"/>
  <c r="D31" i="1" a="1"/>
  <c r="H29" i="1" a="1"/>
  <c r="F28" i="1" a="1"/>
  <c r="D27" i="1" a="1"/>
  <c r="H25" i="1" a="1"/>
  <c r="F24" i="1" a="1"/>
  <c r="D23" i="1" a="1"/>
  <c r="H21" i="1" a="1"/>
  <c r="F20" i="1" a="1"/>
  <c r="D19" i="1" a="1"/>
  <c r="H17" i="1" a="1"/>
  <c r="F16" i="1" a="1"/>
  <c r="D15" i="1" a="1"/>
  <c r="H13" i="1" a="1"/>
  <c r="F12" i="1" a="1"/>
  <c r="D11" i="1" a="1"/>
  <c r="H9" i="1" a="1"/>
  <c r="F8" i="1" a="1"/>
  <c r="D7" i="1" a="1"/>
  <c r="H5" i="1" a="1"/>
  <c r="F4" i="1" a="1"/>
  <c r="E16" i="1" a="1"/>
  <c r="G13" i="1" a="1"/>
  <c r="E12" i="1" a="1"/>
  <c r="C11" i="1" a="1"/>
  <c r="E8" i="1" a="1"/>
  <c r="C7" i="1" a="1"/>
  <c r="G5" i="1" a="1"/>
  <c r="E4" i="1" a="1"/>
  <c r="E5" i="1" a="1"/>
  <c r="C4" i="1" a="1"/>
  <c r="D73" i="1" a="1"/>
  <c r="G64" i="1" a="1"/>
  <c r="G48" i="1" a="1"/>
  <c r="C38" i="1" a="1"/>
  <c r="C30" i="1" a="1"/>
  <c r="G24" i="1" a="1"/>
  <c r="G20" i="1" a="1"/>
  <c r="C10" i="1" a="1"/>
  <c r="E7" i="1" a="1"/>
  <c r="C121" i="1" a="1"/>
  <c r="E107" i="1" a="1"/>
  <c r="F99" i="1" a="1"/>
  <c r="H87" i="1" a="1"/>
  <c r="F82" i="1" a="1"/>
  <c r="H77" i="1" a="1"/>
  <c r="D75" i="1" a="1"/>
  <c r="F72" i="1" a="1"/>
  <c r="H69" i="1" a="1"/>
  <c r="E68" i="1" a="1"/>
  <c r="C67" i="1" a="1"/>
  <c r="G65" i="1" a="1"/>
  <c r="E64" i="1" a="1"/>
  <c r="C63" i="1" a="1"/>
  <c r="G61" i="1" a="1"/>
  <c r="E60" i="1" a="1"/>
  <c r="C59" i="1" a="1"/>
  <c r="G57" i="1" a="1"/>
  <c r="E56" i="1" a="1"/>
  <c r="C55" i="1" a="1"/>
  <c r="G53" i="1" a="1"/>
  <c r="E52" i="1" a="1"/>
  <c r="C51" i="1" a="1"/>
  <c r="G49" i="1" a="1"/>
  <c r="E48" i="1" a="1"/>
  <c r="C47" i="1" a="1"/>
  <c r="G45" i="1" a="1"/>
  <c r="E44" i="1" a="1"/>
  <c r="C43" i="1" a="1"/>
  <c r="G41" i="1" a="1"/>
  <c r="E40" i="1" a="1"/>
  <c r="C39" i="1" a="1"/>
  <c r="G37" i="1" a="1"/>
  <c r="E36" i="1" a="1"/>
  <c r="C35" i="1" a="1"/>
  <c r="G33" i="1" a="1"/>
  <c r="E32" i="1" a="1"/>
  <c r="C31" i="1" a="1"/>
  <c r="G29" i="1" a="1"/>
  <c r="E28" i="1" a="1"/>
  <c r="C27" i="1" a="1"/>
  <c r="G25" i="1" a="1"/>
  <c r="E24" i="1" a="1"/>
  <c r="C23" i="1" a="1"/>
  <c r="G21" i="1" a="1"/>
  <c r="E20" i="1" a="1"/>
  <c r="C19" i="1" a="1"/>
  <c r="G17" i="1" a="1"/>
  <c r="C15" i="1" a="1"/>
  <c r="G9" i="1" a="1"/>
  <c r="D4" i="1" a="1"/>
  <c r="D5" i="1" a="1"/>
  <c r="H75" i="1" a="1"/>
  <c r="E67" i="1" a="1"/>
  <c r="C62" i="1" a="1"/>
  <c r="G60" i="1" a="1"/>
  <c r="G56" i="1" a="1"/>
  <c r="E47" i="1" a="1"/>
  <c r="C42" i="1" a="1"/>
  <c r="E35" i="1" a="1"/>
  <c r="G8" i="1" a="1"/>
  <c r="E144" i="1" a="1"/>
  <c r="E106" i="1" a="1"/>
  <c r="G92" i="1" a="1"/>
  <c r="D87" i="1" a="1"/>
  <c r="H81" i="1" a="1"/>
  <c r="E77" i="1" a="1"/>
  <c r="G74" i="1" a="1"/>
  <c r="C72" i="1" a="1"/>
  <c r="F69" i="1" a="1"/>
  <c r="D68" i="1" a="1"/>
  <c r="H66" i="1" a="1"/>
  <c r="F65" i="1" a="1"/>
  <c r="D64" i="1" a="1"/>
  <c r="H62" i="1" a="1"/>
  <c r="F61" i="1" a="1"/>
  <c r="D60" i="1" a="1"/>
  <c r="H58" i="1" a="1"/>
  <c r="F57" i="1" a="1"/>
  <c r="D56" i="1" a="1"/>
  <c r="H54" i="1" a="1"/>
  <c r="F53" i="1" a="1"/>
  <c r="D52" i="1" a="1"/>
  <c r="H50" i="1" a="1"/>
  <c r="F49" i="1" a="1"/>
  <c r="D48" i="1" a="1"/>
  <c r="H46" i="1" a="1"/>
  <c r="F45" i="1" a="1"/>
  <c r="D44" i="1" a="1"/>
  <c r="H42" i="1" a="1"/>
  <c r="F41" i="1" a="1"/>
  <c r="D40" i="1" a="1"/>
  <c r="H38" i="1" a="1"/>
  <c r="F37" i="1" a="1"/>
  <c r="D36" i="1" a="1"/>
  <c r="H34" i="1" a="1"/>
  <c r="F33" i="1" a="1"/>
  <c r="D32" i="1" a="1"/>
  <c r="H30" i="1" a="1"/>
  <c r="F29" i="1" a="1"/>
  <c r="D28" i="1" a="1"/>
  <c r="H26" i="1" a="1"/>
  <c r="F25" i="1" a="1"/>
  <c r="D24" i="1" a="1"/>
  <c r="H22" i="1" a="1"/>
  <c r="F21" i="1" a="1"/>
  <c r="D20" i="1" a="1"/>
  <c r="H18" i="1" a="1"/>
  <c r="F17" i="1" a="1"/>
  <c r="D16" i="1" a="1"/>
  <c r="H14" i="1" a="1"/>
  <c r="F13" i="1" a="1"/>
  <c r="D12" i="1" a="1"/>
  <c r="H10" i="1" a="1"/>
  <c r="F9" i="1" a="1"/>
  <c r="D8" i="1" a="1"/>
  <c r="H6" i="1" a="1"/>
  <c r="F5" i="1" a="1"/>
  <c r="C12" i="1" a="1"/>
  <c r="G10" i="1" a="1"/>
  <c r="E9" i="1" a="1"/>
  <c r="C8" i="1" a="1"/>
  <c r="G6" i="1" a="1"/>
  <c r="F6" i="1" a="1"/>
  <c r="H83" i="1" a="1"/>
  <c r="E63" i="1" a="1"/>
  <c r="C58" i="1" a="1"/>
  <c r="E55" i="1" a="1"/>
  <c r="C50" i="1" a="1"/>
  <c r="G40" i="1" a="1"/>
  <c r="G32" i="1" a="1"/>
  <c r="E23" i="1" a="1"/>
  <c r="E15" i="1" a="1"/>
  <c r="E11" i="1" a="1"/>
  <c r="H140" i="1" a="1"/>
  <c r="C116" i="1" a="1"/>
  <c r="E105" i="1" a="1"/>
  <c r="C98" i="1" a="1"/>
  <c r="F86" i="1" a="1"/>
  <c r="D81" i="1" a="1"/>
  <c r="D77" i="1" a="1"/>
  <c r="F74" i="1" a="1"/>
  <c r="H71" i="1" a="1"/>
  <c r="E69" i="1" a="1"/>
  <c r="C68" i="1" a="1"/>
  <c r="G66" i="1" a="1"/>
  <c r="E65" i="1" a="1"/>
  <c r="C64" i="1" a="1"/>
  <c r="G62" i="1" a="1"/>
  <c r="E61" i="1" a="1"/>
  <c r="C60" i="1" a="1"/>
  <c r="G58" i="1" a="1"/>
  <c r="E57" i="1" a="1"/>
  <c r="C56" i="1" a="1"/>
  <c r="G54" i="1" a="1"/>
  <c r="E53" i="1" a="1"/>
  <c r="C52" i="1" a="1"/>
  <c r="G50" i="1" a="1"/>
  <c r="E49" i="1" a="1"/>
  <c r="C48" i="1" a="1"/>
  <c r="G46" i="1" a="1"/>
  <c r="E45" i="1" a="1"/>
  <c r="C44" i="1" a="1"/>
  <c r="G42" i="1" a="1"/>
  <c r="E41" i="1" a="1"/>
  <c r="C40" i="1" a="1"/>
  <c r="G38" i="1" a="1"/>
  <c r="E37" i="1" a="1"/>
  <c r="C36" i="1" a="1"/>
  <c r="G34" i="1" a="1"/>
  <c r="E33" i="1" a="1"/>
  <c r="C32" i="1" a="1"/>
  <c r="G30" i="1" a="1"/>
  <c r="E29" i="1" a="1"/>
  <c r="C28" i="1" a="1"/>
  <c r="G26" i="1" a="1"/>
  <c r="E25" i="1" a="1"/>
  <c r="C24" i="1" a="1"/>
  <c r="G22" i="1" a="1"/>
  <c r="E21" i="1" a="1"/>
  <c r="C20" i="1" a="1"/>
  <c r="G18" i="1" a="1"/>
  <c r="E17" i="1" a="1"/>
  <c r="C16" i="1" a="1"/>
  <c r="G14" i="1" a="1"/>
  <c r="E13" i="1" a="1"/>
  <c r="E59" i="1" a="1"/>
  <c r="C54" i="1" a="1"/>
  <c r="E51" i="1" a="1"/>
  <c r="E39" i="1" a="1"/>
  <c r="C14" i="1" a="1"/>
  <c r="E104" i="1" a="1"/>
  <c r="D91" i="1" a="1"/>
  <c r="H85" i="1" a="1"/>
  <c r="F80" i="1" a="1"/>
  <c r="G76" i="1" a="1"/>
  <c r="C74" i="1" a="1"/>
  <c r="E71" i="1" a="1"/>
  <c r="D69" i="1" a="1"/>
  <c r="H67" i="1" a="1"/>
  <c r="F66" i="1" a="1"/>
  <c r="D65" i="1" a="1"/>
  <c r="H63" i="1" a="1"/>
  <c r="F62" i="1" a="1"/>
  <c r="D61" i="1" a="1"/>
  <c r="H59" i="1" a="1"/>
  <c r="F58" i="1" a="1"/>
  <c r="D57" i="1" a="1"/>
  <c r="H55" i="1" a="1"/>
  <c r="F54" i="1" a="1"/>
  <c r="D53" i="1" a="1"/>
  <c r="H51" i="1" a="1"/>
  <c r="F50" i="1" a="1"/>
  <c r="D49" i="1" a="1"/>
  <c r="H47" i="1" a="1"/>
  <c r="F46" i="1" a="1"/>
  <c r="D45" i="1" a="1"/>
  <c r="H43" i="1" a="1"/>
  <c r="F42" i="1" a="1"/>
  <c r="D41" i="1" a="1"/>
  <c r="H39" i="1" a="1"/>
  <c r="F38" i="1" a="1"/>
  <c r="D37" i="1" a="1"/>
  <c r="H35" i="1" a="1"/>
  <c r="F34" i="1" a="1"/>
  <c r="D33" i="1" a="1"/>
  <c r="H31" i="1" a="1"/>
  <c r="F30" i="1" a="1"/>
  <c r="D29" i="1" a="1"/>
  <c r="H27" i="1" a="1"/>
  <c r="F26" i="1" a="1"/>
  <c r="D25" i="1" a="1"/>
  <c r="H23" i="1" a="1"/>
  <c r="F22" i="1" a="1"/>
  <c r="D21" i="1" a="1"/>
  <c r="H19" i="1" a="1"/>
  <c r="F18" i="1" a="1"/>
  <c r="D17" i="1" a="1"/>
  <c r="H15" i="1" a="1"/>
  <c r="F14" i="1" a="1"/>
  <c r="D13" i="1" a="1"/>
  <c r="H11" i="1" a="1"/>
  <c r="F10" i="1" a="1"/>
  <c r="D9" i="1" a="1"/>
  <c r="H7" i="1" a="1"/>
  <c r="C66" i="1" a="1"/>
  <c r="C46" i="1" a="1"/>
  <c r="G36" i="1" a="1"/>
  <c r="G28" i="1" a="1"/>
  <c r="C18" i="1" a="1"/>
  <c r="G133" i="1" a="1"/>
  <c r="G111" i="1" a="1"/>
  <c r="E103" i="1" a="1"/>
  <c r="F96" i="1" a="1"/>
  <c r="F90" i="1" a="1"/>
  <c r="D85" i="1" a="1"/>
  <c r="H79" i="1" a="1"/>
  <c r="F76" i="1" a="1"/>
  <c r="H73" i="1" a="1"/>
  <c r="D71" i="1" a="1"/>
  <c r="C69" i="1" a="1"/>
  <c r="G67" i="1" a="1"/>
  <c r="E66" i="1" a="1"/>
  <c r="C65" i="1" a="1"/>
  <c r="G63" i="1" a="1"/>
  <c r="E62" i="1" a="1"/>
  <c r="C61" i="1" a="1"/>
  <c r="G59" i="1" a="1"/>
  <c r="E58" i="1" a="1"/>
  <c r="C57" i="1" a="1"/>
  <c r="G55" i="1" a="1"/>
  <c r="E54" i="1" a="1"/>
  <c r="C53" i="1" a="1"/>
  <c r="G51" i="1" a="1"/>
  <c r="E50" i="1" a="1"/>
  <c r="C49" i="1" a="1"/>
  <c r="G47" i="1" a="1"/>
  <c r="E46" i="1" a="1"/>
  <c r="C45" i="1" a="1"/>
  <c r="G43" i="1" a="1"/>
  <c r="E42" i="1" a="1"/>
  <c r="C41" i="1" a="1"/>
  <c r="G39" i="1" a="1"/>
  <c r="E38" i="1" a="1"/>
  <c r="C37" i="1" a="1"/>
  <c r="G35" i="1" a="1"/>
  <c r="E34" i="1" a="1"/>
  <c r="C33" i="1" a="1"/>
  <c r="G31" i="1" a="1"/>
  <c r="E30" i="1" a="1"/>
  <c r="C29" i="1" a="1"/>
  <c r="G27" i="1" a="1"/>
  <c r="E26" i="1" a="1"/>
  <c r="C25" i="1" a="1"/>
  <c r="G23" i="1" a="1"/>
  <c r="E22" i="1" a="1"/>
  <c r="C21" i="1" a="1"/>
  <c r="G19" i="1" a="1"/>
  <c r="E18" i="1" a="1"/>
  <c r="C17" i="1" a="1"/>
  <c r="G15" i="1" a="1"/>
  <c r="E14" i="1" a="1"/>
  <c r="C13" i="1" a="1"/>
  <c r="G11" i="1" a="1"/>
  <c r="E10" i="1" a="1"/>
  <c r="C9" i="1" a="1"/>
  <c r="G7" i="1" a="1"/>
  <c r="E6" i="1" a="1"/>
  <c r="C5" i="1" a="1"/>
  <c r="F109" i="1" a="1"/>
  <c r="D89" i="1" a="1"/>
  <c r="F78" i="1" a="1"/>
  <c r="F70" i="1" a="1"/>
  <c r="G68" i="1" a="1"/>
  <c r="G52" i="1" a="1"/>
  <c r="E43" i="1" a="1"/>
  <c r="C34" i="1" a="1"/>
  <c r="E31" i="1" a="1"/>
  <c r="E27" i="1" a="1"/>
  <c r="C22" i="1" a="1"/>
  <c r="E19" i="1" a="1"/>
  <c r="G12" i="1" a="1"/>
  <c r="G4" i="1" a="1"/>
  <c r="D130" i="1" a="1"/>
  <c r="E102" i="1" a="1"/>
  <c r="G95" i="1" a="1"/>
  <c r="H89" i="1" a="1"/>
  <c r="F84" i="1" a="1"/>
  <c r="D79" i="1" a="1"/>
  <c r="C76" i="1" a="1"/>
  <c r="E73" i="1" a="1"/>
  <c r="G70" i="1" a="1"/>
  <c r="H68" i="1" a="1"/>
  <c r="F67" i="1" a="1"/>
  <c r="D66" i="1" a="1"/>
  <c r="H64" i="1" a="1"/>
  <c r="F63" i="1" a="1"/>
  <c r="D62" i="1" a="1"/>
  <c r="H60" i="1" a="1"/>
  <c r="F59" i="1" a="1"/>
  <c r="D58" i="1" a="1"/>
  <c r="H56" i="1" a="1"/>
  <c r="F55" i="1" a="1"/>
  <c r="D54" i="1" a="1"/>
  <c r="H52" i="1" a="1"/>
  <c r="F51" i="1" a="1"/>
  <c r="D50" i="1" a="1"/>
  <c r="H48" i="1" a="1"/>
  <c r="F47" i="1" a="1"/>
  <c r="D46" i="1" a="1"/>
  <c r="H44" i="1" a="1"/>
  <c r="F43" i="1" a="1"/>
  <c r="D42" i="1" a="1"/>
  <c r="H40" i="1" a="1"/>
  <c r="F39" i="1" a="1"/>
  <c r="D38" i="1" a="1"/>
  <c r="H36" i="1" a="1"/>
  <c r="F35" i="1" a="1"/>
  <c r="D34" i="1" a="1"/>
  <c r="H32" i="1" a="1"/>
  <c r="F31" i="1" a="1"/>
  <c r="D30" i="1" a="1"/>
  <c r="H28" i="1" a="1"/>
  <c r="F27" i="1" a="1"/>
  <c r="D26" i="1" a="1"/>
  <c r="H24" i="1" a="1"/>
  <c r="F23" i="1" a="1"/>
  <c r="D22" i="1" a="1"/>
  <c r="H20" i="1" a="1"/>
  <c r="F19" i="1" a="1"/>
  <c r="D18" i="1" a="1"/>
  <c r="H16" i="1" a="1"/>
  <c r="F15" i="1" a="1"/>
  <c r="D14" i="1" a="1"/>
  <c r="H12" i="1" a="1"/>
  <c r="F11" i="1" a="1"/>
  <c r="D10" i="1" a="1"/>
  <c r="H8" i="1" a="1"/>
  <c r="F7" i="1" a="1"/>
  <c r="D6" i="1" a="1"/>
  <c r="H4" i="1" a="1"/>
  <c r="G44" i="1" a="1"/>
  <c r="C26" i="1" a="1"/>
  <c r="G16" i="1" a="1"/>
  <c r="C6" i="1" a="1"/>
  <c r="C3" i="1" a="1"/>
  <c r="F3" i="1" a="1"/>
  <c r="E3" i="1" a="1"/>
  <c r="D3" i="1" a="1"/>
  <c r="H3" i="1" a="1"/>
  <c r="G3" i="1" a="1"/>
  <c r="F273" i="1" l="1"/>
  <c r="E273" i="1"/>
  <c r="G273" i="1"/>
  <c r="C273" i="1"/>
  <c r="H273" i="1"/>
  <c r="D273" i="1"/>
  <c r="C6" i="1"/>
  <c r="G16" i="1"/>
  <c r="C26" i="1"/>
  <c r="G44" i="1"/>
  <c r="H4" i="1"/>
  <c r="D6" i="1"/>
  <c r="F7" i="1"/>
  <c r="H8" i="1"/>
  <c r="D10" i="1"/>
  <c r="F11" i="1"/>
  <c r="H12" i="1"/>
  <c r="D14" i="1"/>
  <c r="F15" i="1"/>
  <c r="H16" i="1"/>
  <c r="D18" i="1"/>
  <c r="F19" i="1"/>
  <c r="H20" i="1"/>
  <c r="D22" i="1"/>
  <c r="F23" i="1"/>
  <c r="H24" i="1"/>
  <c r="D26" i="1"/>
  <c r="F27" i="1"/>
  <c r="H28" i="1"/>
  <c r="D30" i="1"/>
  <c r="F31" i="1"/>
  <c r="H32" i="1"/>
  <c r="D34" i="1"/>
  <c r="F35" i="1"/>
  <c r="H36" i="1"/>
  <c r="D38" i="1"/>
  <c r="F39" i="1"/>
  <c r="H40" i="1"/>
  <c r="D42" i="1"/>
  <c r="F43" i="1"/>
  <c r="H44" i="1"/>
  <c r="D46" i="1"/>
  <c r="F47" i="1"/>
  <c r="H48" i="1"/>
  <c r="D50" i="1"/>
  <c r="F51" i="1"/>
  <c r="H52" i="1"/>
  <c r="D54" i="1"/>
  <c r="F55" i="1"/>
  <c r="H56" i="1"/>
  <c r="D58" i="1"/>
  <c r="F59" i="1"/>
  <c r="H60" i="1"/>
  <c r="D62" i="1"/>
  <c r="F63" i="1"/>
  <c r="H64" i="1"/>
  <c r="D66" i="1"/>
  <c r="F67" i="1"/>
  <c r="H68" i="1"/>
  <c r="G70" i="1"/>
  <c r="E73" i="1"/>
  <c r="C76" i="1"/>
  <c r="D79" i="1"/>
  <c r="F84" i="1"/>
  <c r="H89" i="1"/>
  <c r="G95" i="1"/>
  <c r="E102" i="1"/>
  <c r="D130" i="1"/>
  <c r="G4" i="1"/>
  <c r="G12" i="1"/>
  <c r="E19" i="1"/>
  <c r="C22" i="1"/>
  <c r="E27" i="1"/>
  <c r="E31" i="1"/>
  <c r="C34" i="1"/>
  <c r="E43" i="1"/>
  <c r="G52" i="1"/>
  <c r="G68" i="1"/>
  <c r="F70" i="1"/>
  <c r="F78" i="1"/>
  <c r="D89" i="1"/>
  <c r="F109" i="1"/>
  <c r="C5" i="1"/>
  <c r="E6" i="1"/>
  <c r="G7" i="1"/>
  <c r="C9" i="1"/>
  <c r="E10" i="1"/>
  <c r="G11" i="1"/>
  <c r="C13" i="1"/>
  <c r="E14" i="1"/>
  <c r="G15" i="1"/>
  <c r="C17" i="1"/>
  <c r="E18" i="1"/>
  <c r="G19" i="1"/>
  <c r="C21" i="1"/>
  <c r="E22" i="1"/>
  <c r="G23" i="1"/>
  <c r="C25" i="1"/>
  <c r="E26" i="1"/>
  <c r="G27" i="1"/>
  <c r="C29" i="1"/>
  <c r="E30" i="1"/>
  <c r="G31" i="1"/>
  <c r="C33" i="1"/>
  <c r="E34" i="1"/>
  <c r="G35" i="1"/>
  <c r="C37" i="1"/>
  <c r="E38" i="1"/>
  <c r="G39" i="1"/>
  <c r="C41" i="1"/>
  <c r="E42" i="1"/>
  <c r="G43" i="1"/>
  <c r="C45" i="1"/>
  <c r="E46" i="1"/>
  <c r="G47" i="1"/>
  <c r="C49" i="1"/>
  <c r="E50" i="1"/>
  <c r="G51" i="1"/>
  <c r="C53" i="1"/>
  <c r="E54" i="1"/>
  <c r="G55" i="1"/>
  <c r="C57" i="1"/>
  <c r="E58" i="1"/>
  <c r="G59" i="1"/>
  <c r="C61" i="1"/>
  <c r="E62" i="1"/>
  <c r="G63" i="1"/>
  <c r="C65" i="1"/>
  <c r="E66" i="1"/>
  <c r="G67" i="1"/>
  <c r="C69" i="1"/>
  <c r="D71" i="1"/>
  <c r="H73" i="1"/>
  <c r="F76" i="1"/>
  <c r="H79" i="1"/>
  <c r="D85" i="1"/>
  <c r="F90" i="1"/>
  <c r="F96" i="1"/>
  <c r="E103" i="1"/>
  <c r="G111" i="1"/>
  <c r="G133" i="1"/>
  <c r="C18" i="1"/>
  <c r="G28" i="1"/>
  <c r="G36" i="1"/>
  <c r="C46" i="1"/>
  <c r="C66" i="1"/>
  <c r="H7" i="1"/>
  <c r="D9" i="1"/>
  <c r="F10" i="1"/>
  <c r="H11" i="1"/>
  <c r="D13" i="1"/>
  <c r="F14" i="1"/>
  <c r="H15" i="1"/>
  <c r="D17" i="1"/>
  <c r="F18" i="1"/>
  <c r="H19" i="1"/>
  <c r="D21" i="1"/>
  <c r="F22" i="1"/>
  <c r="H23" i="1"/>
  <c r="D25" i="1"/>
  <c r="F26" i="1"/>
  <c r="H27" i="1"/>
  <c r="D29" i="1"/>
  <c r="F30" i="1"/>
  <c r="H31" i="1"/>
  <c r="D33" i="1"/>
  <c r="F34" i="1"/>
  <c r="H35" i="1"/>
  <c r="D37" i="1"/>
  <c r="F38" i="1"/>
  <c r="H39" i="1"/>
  <c r="D41" i="1"/>
  <c r="F42" i="1"/>
  <c r="H43" i="1"/>
  <c r="D45" i="1"/>
  <c r="F46" i="1"/>
  <c r="H47" i="1"/>
  <c r="D49" i="1"/>
  <c r="F50" i="1"/>
  <c r="H51" i="1"/>
  <c r="D53" i="1"/>
  <c r="F54" i="1"/>
  <c r="H55" i="1"/>
  <c r="D57" i="1"/>
  <c r="F58" i="1"/>
  <c r="H59" i="1"/>
  <c r="D61" i="1"/>
  <c r="F62" i="1"/>
  <c r="H63" i="1"/>
  <c r="D65" i="1"/>
  <c r="F66" i="1"/>
  <c r="H67" i="1"/>
  <c r="D69" i="1"/>
  <c r="E71" i="1"/>
  <c r="C74" i="1"/>
  <c r="G76" i="1"/>
  <c r="F80" i="1"/>
  <c r="H85" i="1"/>
  <c r="D91" i="1"/>
  <c r="E104" i="1"/>
  <c r="C14" i="1"/>
  <c r="E39" i="1"/>
  <c r="E51" i="1"/>
  <c r="C54" i="1"/>
  <c r="E59" i="1"/>
  <c r="E13" i="1"/>
  <c r="G14" i="1"/>
  <c r="C16" i="1"/>
  <c r="E17" i="1"/>
  <c r="G18" i="1"/>
  <c r="C20" i="1"/>
  <c r="E21" i="1"/>
  <c r="G22" i="1"/>
  <c r="C24" i="1"/>
  <c r="E25" i="1"/>
  <c r="G26" i="1"/>
  <c r="C28" i="1"/>
  <c r="E29" i="1"/>
  <c r="G30" i="1"/>
  <c r="C32" i="1"/>
  <c r="E33" i="1"/>
  <c r="G34" i="1"/>
  <c r="C36" i="1"/>
  <c r="E37" i="1"/>
  <c r="G38" i="1"/>
  <c r="C40" i="1"/>
  <c r="E41" i="1"/>
  <c r="G42" i="1"/>
  <c r="C44" i="1"/>
  <c r="E45" i="1"/>
  <c r="G46" i="1"/>
  <c r="C48" i="1"/>
  <c r="E49" i="1"/>
  <c r="G50" i="1"/>
  <c r="C52" i="1"/>
  <c r="E53" i="1"/>
  <c r="G54" i="1"/>
  <c r="C56" i="1"/>
  <c r="E57" i="1"/>
  <c r="G58" i="1"/>
  <c r="C60" i="1"/>
  <c r="E61" i="1"/>
  <c r="G62" i="1"/>
  <c r="C64" i="1"/>
  <c r="E65" i="1"/>
  <c r="G66" i="1"/>
  <c r="C68" i="1"/>
  <c r="E69" i="1"/>
  <c r="H71" i="1"/>
  <c r="F74" i="1"/>
  <c r="D77" i="1"/>
  <c r="D81" i="1"/>
  <c r="F86" i="1"/>
  <c r="C98" i="1"/>
  <c r="E105" i="1"/>
  <c r="C116" i="1"/>
  <c r="H140" i="1"/>
  <c r="E11" i="1"/>
  <c r="E15" i="1"/>
  <c r="E23" i="1"/>
  <c r="G32" i="1"/>
  <c r="G40" i="1"/>
  <c r="C50" i="1"/>
  <c r="E55" i="1"/>
  <c r="C58" i="1"/>
  <c r="E63" i="1"/>
  <c r="H83" i="1"/>
  <c r="F6" i="1"/>
  <c r="G6" i="1"/>
  <c r="C8" i="1"/>
  <c r="E9" i="1"/>
  <c r="G10" i="1"/>
  <c r="C12" i="1"/>
  <c r="F5" i="1"/>
  <c r="H6" i="1"/>
  <c r="D8" i="1"/>
  <c r="F9" i="1"/>
  <c r="H10" i="1"/>
  <c r="D12" i="1"/>
  <c r="F13" i="1"/>
  <c r="H14" i="1"/>
  <c r="D16" i="1"/>
  <c r="F17" i="1"/>
  <c r="H18" i="1"/>
  <c r="D20" i="1"/>
  <c r="F21" i="1"/>
  <c r="H22" i="1"/>
  <c r="D24" i="1"/>
  <c r="F25" i="1"/>
  <c r="H26" i="1"/>
  <c r="D28" i="1"/>
  <c r="F29" i="1"/>
  <c r="H30" i="1"/>
  <c r="D32" i="1"/>
  <c r="F33" i="1"/>
  <c r="H34" i="1"/>
  <c r="D36" i="1"/>
  <c r="F37" i="1"/>
  <c r="H38" i="1"/>
  <c r="D40" i="1"/>
  <c r="F41" i="1"/>
  <c r="H42" i="1"/>
  <c r="D44" i="1"/>
  <c r="F45" i="1"/>
  <c r="H46" i="1"/>
  <c r="D48" i="1"/>
  <c r="F49" i="1"/>
  <c r="H50" i="1"/>
  <c r="D52" i="1"/>
  <c r="F53" i="1"/>
  <c r="H54" i="1"/>
  <c r="D56" i="1"/>
  <c r="F57" i="1"/>
  <c r="H58" i="1"/>
  <c r="D60" i="1"/>
  <c r="F61" i="1"/>
  <c r="H62" i="1"/>
  <c r="D64" i="1"/>
  <c r="F65" i="1"/>
  <c r="H66" i="1"/>
  <c r="D68" i="1"/>
  <c r="F69" i="1"/>
  <c r="C72" i="1"/>
  <c r="G74" i="1"/>
  <c r="E77" i="1"/>
  <c r="H81" i="1"/>
  <c r="D87" i="1"/>
  <c r="G92" i="1"/>
  <c r="E106" i="1"/>
  <c r="E144" i="1"/>
  <c r="G8" i="1"/>
  <c r="E35" i="1"/>
  <c r="C42" i="1"/>
  <c r="E47" i="1"/>
  <c r="G56" i="1"/>
  <c r="G60" i="1"/>
  <c r="C62" i="1"/>
  <c r="E67" i="1"/>
  <c r="H75" i="1"/>
  <c r="D5" i="1"/>
  <c r="D4" i="1"/>
  <c r="G9" i="1"/>
  <c r="C15" i="1"/>
  <c r="G17" i="1"/>
  <c r="C19" i="1"/>
  <c r="E20" i="1"/>
  <c r="G21" i="1"/>
  <c r="C23" i="1"/>
  <c r="E24" i="1"/>
  <c r="G25" i="1"/>
  <c r="C27" i="1"/>
  <c r="E28" i="1"/>
  <c r="G29" i="1"/>
  <c r="C31" i="1"/>
  <c r="E32" i="1"/>
  <c r="G33" i="1"/>
  <c r="C35" i="1"/>
  <c r="E36" i="1"/>
  <c r="G37" i="1"/>
  <c r="C39" i="1"/>
  <c r="E40" i="1"/>
  <c r="G41" i="1"/>
  <c r="C43" i="1"/>
  <c r="E44" i="1"/>
  <c r="G45" i="1"/>
  <c r="C47" i="1"/>
  <c r="E48" i="1"/>
  <c r="G49" i="1"/>
  <c r="C51" i="1"/>
  <c r="E52" i="1"/>
  <c r="G53" i="1"/>
  <c r="C55" i="1"/>
  <c r="E56" i="1"/>
  <c r="G57" i="1"/>
  <c r="C59" i="1"/>
  <c r="E60" i="1"/>
  <c r="G61" i="1"/>
  <c r="C63" i="1"/>
  <c r="E64" i="1"/>
  <c r="G65" i="1"/>
  <c r="C67" i="1"/>
  <c r="E68" i="1"/>
  <c r="H69" i="1"/>
  <c r="F72" i="1"/>
  <c r="D75" i="1"/>
  <c r="H77" i="1"/>
  <c r="F82" i="1"/>
  <c r="H87" i="1"/>
  <c r="F99" i="1"/>
  <c r="E107" i="1"/>
  <c r="C121" i="1"/>
  <c r="E7" i="1"/>
  <c r="C10" i="1"/>
  <c r="G20" i="1"/>
  <c r="G24" i="1"/>
  <c r="C30" i="1"/>
  <c r="C38" i="1"/>
  <c r="G48" i="1"/>
  <c r="G64" i="1"/>
  <c r="D73" i="1"/>
  <c r="C4" i="1"/>
  <c r="E5" i="1"/>
  <c r="E4" i="1"/>
  <c r="G5" i="1"/>
  <c r="C7" i="1"/>
  <c r="E8" i="1"/>
  <c r="C11" i="1"/>
  <c r="E12" i="1"/>
  <c r="G13" i="1"/>
  <c r="E16" i="1"/>
  <c r="F4" i="1"/>
  <c r="H5" i="1"/>
  <c r="D7" i="1"/>
  <c r="F8" i="1"/>
  <c r="H9" i="1"/>
  <c r="D11" i="1"/>
  <c r="F12" i="1"/>
  <c r="H13" i="1"/>
  <c r="D15" i="1"/>
  <c r="F16" i="1"/>
  <c r="H17" i="1"/>
  <c r="D19" i="1"/>
  <c r="F20" i="1"/>
  <c r="H21" i="1"/>
  <c r="D23" i="1"/>
  <c r="F24" i="1"/>
  <c r="H25" i="1"/>
  <c r="D27" i="1"/>
  <c r="F28" i="1"/>
  <c r="H29" i="1"/>
  <c r="D31" i="1"/>
  <c r="F32" i="1"/>
  <c r="H33" i="1"/>
  <c r="D35" i="1"/>
  <c r="F36" i="1"/>
  <c r="H37" i="1"/>
  <c r="D39" i="1"/>
  <c r="F40" i="1"/>
  <c r="H41" i="1"/>
  <c r="D43" i="1"/>
  <c r="F44" i="1"/>
  <c r="H45" i="1"/>
  <c r="D47" i="1"/>
  <c r="F48" i="1"/>
  <c r="H49" i="1"/>
  <c r="D51" i="1"/>
  <c r="F52" i="1"/>
  <c r="H53" i="1"/>
  <c r="D55" i="1"/>
  <c r="F56" i="1"/>
  <c r="H57" i="1"/>
  <c r="D59" i="1"/>
  <c r="F60" i="1"/>
  <c r="H61" i="1"/>
  <c r="D63" i="1"/>
  <c r="F64" i="1"/>
  <c r="H65" i="1"/>
  <c r="D67" i="1"/>
  <c r="F68" i="1"/>
  <c r="C70" i="1"/>
  <c r="G72" i="1"/>
  <c r="E75" i="1"/>
  <c r="C78" i="1"/>
  <c r="D83" i="1"/>
  <c r="F88" i="1"/>
  <c r="D94" i="1"/>
  <c r="E108" i="1"/>
  <c r="D123" i="1"/>
  <c r="F151" i="1"/>
  <c r="E155" i="1"/>
  <c r="D172" i="1"/>
  <c r="C92" i="1"/>
  <c r="F93" i="1"/>
  <c r="C95" i="1"/>
  <c r="H95" i="1"/>
  <c r="E97" i="1"/>
  <c r="H98" i="1"/>
  <c r="E100" i="1"/>
  <c r="F101" i="1"/>
  <c r="F102" i="1"/>
  <c r="F103" i="1"/>
  <c r="F104" i="1"/>
  <c r="F105" i="1"/>
  <c r="F106" i="1"/>
  <c r="F107" i="1"/>
  <c r="G110" i="1"/>
  <c r="D114" i="1"/>
  <c r="G118" i="1"/>
  <c r="G123" i="1"/>
  <c r="H130" i="1"/>
  <c r="E134" i="1"/>
  <c r="F141" i="1"/>
  <c r="C145" i="1"/>
  <c r="D152" i="1"/>
  <c r="D156" i="1"/>
  <c r="G164" i="1"/>
  <c r="D173" i="1"/>
  <c r="G78" i="1"/>
  <c r="E79" i="1"/>
  <c r="C80" i="1"/>
  <c r="G80" i="1"/>
  <c r="E81" i="1"/>
  <c r="C82" i="1"/>
  <c r="G82" i="1"/>
  <c r="E83" i="1"/>
  <c r="C84" i="1"/>
  <c r="G84" i="1"/>
  <c r="E85" i="1"/>
  <c r="C86" i="1"/>
  <c r="G86" i="1"/>
  <c r="E87" i="1"/>
  <c r="C88" i="1"/>
  <c r="G88" i="1"/>
  <c r="E89" i="1"/>
  <c r="C90" i="1"/>
  <c r="G90" i="1"/>
  <c r="E91" i="1"/>
  <c r="H92" i="1"/>
  <c r="E94" i="1"/>
  <c r="D95" i="1"/>
  <c r="G96" i="1"/>
  <c r="D98" i="1"/>
  <c r="G99" i="1"/>
  <c r="G107" i="1"/>
  <c r="G108" i="1"/>
  <c r="G109" i="1"/>
  <c r="H110" i="1"/>
  <c r="D112" i="1"/>
  <c r="H116" i="1"/>
  <c r="E121" i="1"/>
  <c r="F127" i="1"/>
  <c r="C131" i="1"/>
  <c r="D138" i="1"/>
  <c r="G141" i="1"/>
  <c r="H148" i="1"/>
  <c r="E152" i="1"/>
  <c r="D157" i="1"/>
  <c r="G165" i="1"/>
  <c r="D92" i="1"/>
  <c r="G93" i="1"/>
  <c r="F94" i="1"/>
  <c r="C96" i="1"/>
  <c r="F97" i="1"/>
  <c r="C99" i="1"/>
  <c r="H99" i="1"/>
  <c r="G100" i="1"/>
  <c r="G101" i="1"/>
  <c r="G102" i="1"/>
  <c r="G103" i="1"/>
  <c r="G104" i="1"/>
  <c r="G105" i="1"/>
  <c r="H106" i="1"/>
  <c r="H107" i="1"/>
  <c r="H108" i="1"/>
  <c r="H109" i="1"/>
  <c r="E112" i="1"/>
  <c r="H114" i="1"/>
  <c r="F119" i="1"/>
  <c r="D128" i="1"/>
  <c r="G131" i="1"/>
  <c r="H138" i="1"/>
  <c r="E142" i="1"/>
  <c r="F149" i="1"/>
  <c r="C153" i="1"/>
  <c r="H166" i="1"/>
  <c r="E175" i="1"/>
  <c r="F195" i="1"/>
  <c r="D70" i="1"/>
  <c r="H70" i="1"/>
  <c r="F71" i="1"/>
  <c r="D72" i="1"/>
  <c r="H72" i="1"/>
  <c r="F73" i="1"/>
  <c r="D74" i="1"/>
  <c r="H74" i="1"/>
  <c r="F75" i="1"/>
  <c r="D76" i="1"/>
  <c r="H76" i="1"/>
  <c r="F77" i="1"/>
  <c r="D78" i="1"/>
  <c r="H78" i="1"/>
  <c r="F79" i="1"/>
  <c r="D80" i="1"/>
  <c r="H80" i="1"/>
  <c r="F81" i="1"/>
  <c r="D82" i="1"/>
  <c r="H82" i="1"/>
  <c r="F83" i="1"/>
  <c r="D84" i="1"/>
  <c r="H84" i="1"/>
  <c r="F85" i="1"/>
  <c r="D86" i="1"/>
  <c r="H86" i="1"/>
  <c r="F87" i="1"/>
  <c r="D88" i="1"/>
  <c r="H88" i="1"/>
  <c r="F89" i="1"/>
  <c r="D90" i="1"/>
  <c r="H90" i="1"/>
  <c r="F91" i="1"/>
  <c r="C93" i="1"/>
  <c r="H93" i="1"/>
  <c r="E95" i="1"/>
  <c r="H96" i="1"/>
  <c r="E98" i="1"/>
  <c r="D99" i="1"/>
  <c r="H100" i="1"/>
  <c r="H101" i="1"/>
  <c r="H102" i="1"/>
  <c r="H103" i="1"/>
  <c r="H104" i="1"/>
  <c r="C111" i="1"/>
  <c r="F112" i="1"/>
  <c r="C115" i="1"/>
  <c r="F117" i="1"/>
  <c r="D122" i="1"/>
  <c r="H124" i="1"/>
  <c r="E128" i="1"/>
  <c r="F135" i="1"/>
  <c r="C139" i="1"/>
  <c r="D146" i="1"/>
  <c r="G149" i="1"/>
  <c r="E159" i="1"/>
  <c r="H167" i="1"/>
  <c r="E176" i="1"/>
  <c r="G201" i="1"/>
  <c r="E92" i="1"/>
  <c r="D93" i="1"/>
  <c r="G94" i="1"/>
  <c r="D96" i="1"/>
  <c r="G97" i="1"/>
  <c r="F98" i="1"/>
  <c r="C100" i="1"/>
  <c r="C105" i="1"/>
  <c r="C106" i="1"/>
  <c r="C107" i="1"/>
  <c r="C108" i="1"/>
  <c r="C109" i="1"/>
  <c r="C110" i="1"/>
  <c r="C113" i="1"/>
  <c r="D115" i="1"/>
  <c r="G117" i="1"/>
  <c r="D120" i="1"/>
  <c r="F125" i="1"/>
  <c r="C129" i="1"/>
  <c r="D136" i="1"/>
  <c r="G139" i="1"/>
  <c r="H146" i="1"/>
  <c r="E150" i="1"/>
  <c r="C154" i="1"/>
  <c r="E160" i="1"/>
  <c r="F177" i="1"/>
  <c r="G69" i="1"/>
  <c r="C75" i="1"/>
  <c r="G75" i="1"/>
  <c r="E76" i="1"/>
  <c r="C77" i="1"/>
  <c r="G77" i="1"/>
  <c r="E78" i="1"/>
  <c r="G79" i="1"/>
  <c r="E80" i="1"/>
  <c r="C81" i="1"/>
  <c r="G81" i="1"/>
  <c r="E82" i="1"/>
  <c r="C83" i="1"/>
  <c r="G83" i="1"/>
  <c r="E84" i="1"/>
  <c r="C85" i="1"/>
  <c r="G85" i="1"/>
  <c r="E86" i="1"/>
  <c r="C87" i="1"/>
  <c r="G87" i="1"/>
  <c r="E88" i="1"/>
  <c r="C89" i="1"/>
  <c r="G89" i="1"/>
  <c r="E90" i="1"/>
  <c r="C91" i="1"/>
  <c r="G91" i="1"/>
  <c r="F92" i="1"/>
  <c r="C94" i="1"/>
  <c r="F95" i="1"/>
  <c r="C97" i="1"/>
  <c r="H97" i="1"/>
  <c r="E99" i="1"/>
  <c r="C101" i="1"/>
  <c r="C102" i="1"/>
  <c r="C103" i="1"/>
  <c r="D104" i="1"/>
  <c r="D105" i="1"/>
  <c r="D106" i="1"/>
  <c r="D107" i="1"/>
  <c r="D108" i="1"/>
  <c r="D109" i="1"/>
  <c r="D110" i="1"/>
  <c r="F111" i="1"/>
  <c r="G115" i="1"/>
  <c r="H117" i="1"/>
  <c r="E120" i="1"/>
  <c r="H122" i="1"/>
  <c r="G125" i="1"/>
  <c r="H132" i="1"/>
  <c r="E136" i="1"/>
  <c r="F143" i="1"/>
  <c r="C147" i="1"/>
  <c r="F161" i="1"/>
  <c r="C170" i="1"/>
  <c r="F178" i="1"/>
  <c r="H213" i="1"/>
  <c r="E70" i="1"/>
  <c r="C71" i="1"/>
  <c r="G71" i="1"/>
  <c r="E72" i="1"/>
  <c r="C73" i="1"/>
  <c r="G73" i="1"/>
  <c r="E74" i="1"/>
  <c r="C79" i="1"/>
  <c r="H91" i="1"/>
  <c r="E93" i="1"/>
  <c r="H94" i="1"/>
  <c r="E96" i="1"/>
  <c r="D97" i="1"/>
  <c r="G98" i="1"/>
  <c r="D100" i="1"/>
  <c r="D101" i="1"/>
  <c r="D102" i="1"/>
  <c r="E110" i="1"/>
  <c r="E113" i="1"/>
  <c r="E118" i="1"/>
  <c r="F120" i="1"/>
  <c r="C123" i="1"/>
  <c r="E126" i="1"/>
  <c r="F133" i="1"/>
  <c r="C137" i="1"/>
  <c r="D144" i="1"/>
  <c r="G147" i="1"/>
  <c r="C155" i="1"/>
  <c r="F162" i="1"/>
  <c r="C171" i="1"/>
  <c r="F110" i="1"/>
  <c r="E111" i="1"/>
  <c r="D113" i="1"/>
  <c r="C114" i="1"/>
  <c r="H115" i="1"/>
  <c r="G116" i="1"/>
  <c r="F118" i="1"/>
  <c r="E119" i="1"/>
  <c r="D121" i="1"/>
  <c r="C122" i="1"/>
  <c r="H123" i="1"/>
  <c r="G124" i="1"/>
  <c r="F126" i="1"/>
  <c r="E127" i="1"/>
  <c r="D129" i="1"/>
  <c r="C130" i="1"/>
  <c r="H131" i="1"/>
  <c r="G132" i="1"/>
  <c r="F134" i="1"/>
  <c r="E135" i="1"/>
  <c r="D137" i="1"/>
  <c r="C138" i="1"/>
  <c r="H139" i="1"/>
  <c r="G140" i="1"/>
  <c r="F142" i="1"/>
  <c r="E143" i="1"/>
  <c r="D145" i="1"/>
  <c r="C146" i="1"/>
  <c r="H147" i="1"/>
  <c r="G148" i="1"/>
  <c r="F150" i="1"/>
  <c r="E151" i="1"/>
  <c r="D153" i="1"/>
  <c r="D154" i="1"/>
  <c r="D155" i="1"/>
  <c r="E157" i="1"/>
  <c r="E158" i="1"/>
  <c r="F159" i="1"/>
  <c r="F160" i="1"/>
  <c r="G162" i="1"/>
  <c r="G163" i="1"/>
  <c r="H164" i="1"/>
  <c r="H165" i="1"/>
  <c r="C168" i="1"/>
  <c r="C169" i="1"/>
  <c r="D170" i="1"/>
  <c r="D171" i="1"/>
  <c r="E173" i="1"/>
  <c r="E174" i="1"/>
  <c r="F175" i="1"/>
  <c r="F176" i="1"/>
  <c r="G178" i="1"/>
  <c r="E180" i="1"/>
  <c r="C183" i="1"/>
  <c r="G185" i="1"/>
  <c r="D190" i="1"/>
  <c r="E196" i="1"/>
  <c r="F208" i="1"/>
  <c r="G224" i="1"/>
  <c r="E156" i="1"/>
  <c r="F157" i="1"/>
  <c r="F158" i="1"/>
  <c r="G160" i="1"/>
  <c r="G161" i="1"/>
  <c r="H162" i="1"/>
  <c r="H163" i="1"/>
  <c r="C166" i="1"/>
  <c r="C167" i="1"/>
  <c r="D168" i="1"/>
  <c r="D169" i="1"/>
  <c r="E171" i="1"/>
  <c r="E172" i="1"/>
  <c r="F173" i="1"/>
  <c r="F174" i="1"/>
  <c r="G176" i="1"/>
  <c r="G177" i="1"/>
  <c r="H178" i="1"/>
  <c r="E186" i="1"/>
  <c r="C191" i="1"/>
  <c r="D203" i="1"/>
  <c r="E215" i="1"/>
  <c r="E227" i="1"/>
  <c r="C124" i="1"/>
  <c r="H125" i="1"/>
  <c r="G126" i="1"/>
  <c r="F128" i="1"/>
  <c r="E129" i="1"/>
  <c r="D131" i="1"/>
  <c r="C132" i="1"/>
  <c r="H133" i="1"/>
  <c r="G134" i="1"/>
  <c r="F136" i="1"/>
  <c r="E137" i="1"/>
  <c r="D139" i="1"/>
  <c r="C140" i="1"/>
  <c r="H141" i="1"/>
  <c r="G142" i="1"/>
  <c r="F144" i="1"/>
  <c r="E145" i="1"/>
  <c r="D147" i="1"/>
  <c r="C148" i="1"/>
  <c r="H149" i="1"/>
  <c r="G150" i="1"/>
  <c r="F152" i="1"/>
  <c r="E153" i="1"/>
  <c r="E154" i="1"/>
  <c r="F155" i="1"/>
  <c r="F156" i="1"/>
  <c r="G158" i="1"/>
  <c r="G159" i="1"/>
  <c r="H160" i="1"/>
  <c r="H161" i="1"/>
  <c r="C164" i="1"/>
  <c r="C165" i="1"/>
  <c r="D166" i="1"/>
  <c r="D167" i="1"/>
  <c r="E169" i="1"/>
  <c r="E170" i="1"/>
  <c r="F171" i="1"/>
  <c r="F172" i="1"/>
  <c r="G174" i="1"/>
  <c r="G175" i="1"/>
  <c r="H176" i="1"/>
  <c r="H177" i="1"/>
  <c r="C181" i="1"/>
  <c r="G183" i="1"/>
  <c r="H197" i="1"/>
  <c r="C210" i="1"/>
  <c r="F113" i="1"/>
  <c r="E114" i="1"/>
  <c r="D116" i="1"/>
  <c r="C117" i="1"/>
  <c r="H118" i="1"/>
  <c r="G119" i="1"/>
  <c r="F121" i="1"/>
  <c r="E122" i="1"/>
  <c r="D124" i="1"/>
  <c r="C125" i="1"/>
  <c r="H126" i="1"/>
  <c r="G127" i="1"/>
  <c r="F129" i="1"/>
  <c r="E130" i="1"/>
  <c r="D132" i="1"/>
  <c r="C133" i="1"/>
  <c r="H134" i="1"/>
  <c r="G135" i="1"/>
  <c r="F137" i="1"/>
  <c r="E138" i="1"/>
  <c r="D140" i="1"/>
  <c r="C141" i="1"/>
  <c r="H142" i="1"/>
  <c r="G143" i="1"/>
  <c r="F145" i="1"/>
  <c r="E146" i="1"/>
  <c r="D148" i="1"/>
  <c r="C149" i="1"/>
  <c r="H150" i="1"/>
  <c r="G151" i="1"/>
  <c r="F153" i="1"/>
  <c r="F154" i="1"/>
  <c r="G156" i="1"/>
  <c r="G157" i="1"/>
  <c r="H158" i="1"/>
  <c r="H159" i="1"/>
  <c r="C162" i="1"/>
  <c r="C163" i="1"/>
  <c r="D164" i="1"/>
  <c r="D165" i="1"/>
  <c r="E167" i="1"/>
  <c r="E168" i="1"/>
  <c r="F169" i="1"/>
  <c r="F170" i="1"/>
  <c r="G172" i="1"/>
  <c r="G173" i="1"/>
  <c r="H174" i="1"/>
  <c r="H175" i="1"/>
  <c r="C178" i="1"/>
  <c r="C179" i="1"/>
  <c r="F192" i="1"/>
  <c r="G204" i="1"/>
  <c r="D217" i="1"/>
  <c r="H111" i="1"/>
  <c r="G112" i="1"/>
  <c r="F114" i="1"/>
  <c r="E115" i="1"/>
  <c r="D117" i="1"/>
  <c r="C118" i="1"/>
  <c r="H119" i="1"/>
  <c r="G120" i="1"/>
  <c r="F122" i="1"/>
  <c r="E123" i="1"/>
  <c r="D125" i="1"/>
  <c r="C126" i="1"/>
  <c r="H127" i="1"/>
  <c r="G128" i="1"/>
  <c r="F130" i="1"/>
  <c r="E131" i="1"/>
  <c r="D133" i="1"/>
  <c r="C134" i="1"/>
  <c r="H135" i="1"/>
  <c r="G136" i="1"/>
  <c r="F138" i="1"/>
  <c r="E139" i="1"/>
  <c r="D141" i="1"/>
  <c r="C142" i="1"/>
  <c r="H143" i="1"/>
  <c r="G144" i="1"/>
  <c r="F146" i="1"/>
  <c r="E147" i="1"/>
  <c r="D149" i="1"/>
  <c r="C150" i="1"/>
  <c r="H151" i="1"/>
  <c r="G152" i="1"/>
  <c r="G154" i="1"/>
  <c r="G155" i="1"/>
  <c r="H156" i="1"/>
  <c r="H157" i="1"/>
  <c r="C160" i="1"/>
  <c r="C161" i="1"/>
  <c r="D162" i="1"/>
  <c r="D163" i="1"/>
  <c r="E165" i="1"/>
  <c r="E166" i="1"/>
  <c r="F167" i="1"/>
  <c r="F168" i="1"/>
  <c r="G170" i="1"/>
  <c r="G171" i="1"/>
  <c r="H172" i="1"/>
  <c r="H173" i="1"/>
  <c r="C176" i="1"/>
  <c r="C177" i="1"/>
  <c r="D178" i="1"/>
  <c r="D179" i="1"/>
  <c r="G181" i="1"/>
  <c r="E184" i="1"/>
  <c r="D187" i="1"/>
  <c r="E199" i="1"/>
  <c r="F211" i="1"/>
  <c r="G218" i="1"/>
  <c r="F247" i="1"/>
  <c r="H112" i="1"/>
  <c r="G113" i="1"/>
  <c r="F115" i="1"/>
  <c r="E116" i="1"/>
  <c r="D118" i="1"/>
  <c r="C119" i="1"/>
  <c r="H120" i="1"/>
  <c r="G121" i="1"/>
  <c r="F123" i="1"/>
  <c r="E124" i="1"/>
  <c r="D126" i="1"/>
  <c r="C127" i="1"/>
  <c r="H128" i="1"/>
  <c r="G129" i="1"/>
  <c r="F131" i="1"/>
  <c r="E132" i="1"/>
  <c r="D134" i="1"/>
  <c r="C135" i="1"/>
  <c r="H136" i="1"/>
  <c r="G137" i="1"/>
  <c r="F139" i="1"/>
  <c r="E140" i="1"/>
  <c r="D142" i="1"/>
  <c r="C143" i="1"/>
  <c r="H144" i="1"/>
  <c r="G145" i="1"/>
  <c r="F147" i="1"/>
  <c r="E148" i="1"/>
  <c r="D150" i="1"/>
  <c r="C151" i="1"/>
  <c r="H152" i="1"/>
  <c r="G153" i="1"/>
  <c r="H154" i="1"/>
  <c r="H155" i="1"/>
  <c r="C158" i="1"/>
  <c r="C159" i="1"/>
  <c r="D160" i="1"/>
  <c r="D161" i="1"/>
  <c r="E163" i="1"/>
  <c r="E164" i="1"/>
  <c r="F165" i="1"/>
  <c r="F166" i="1"/>
  <c r="G168" i="1"/>
  <c r="G169" i="1"/>
  <c r="H170" i="1"/>
  <c r="H171" i="1"/>
  <c r="C174" i="1"/>
  <c r="C175" i="1"/>
  <c r="D176" i="1"/>
  <c r="D177" i="1"/>
  <c r="C194" i="1"/>
  <c r="D206" i="1"/>
  <c r="E212" i="1"/>
  <c r="C220" i="1"/>
  <c r="C256" i="1"/>
  <c r="F100" i="1"/>
  <c r="E101" i="1"/>
  <c r="D103" i="1"/>
  <c r="C104" i="1"/>
  <c r="H105" i="1"/>
  <c r="G106" i="1"/>
  <c r="F108" i="1"/>
  <c r="E109" i="1"/>
  <c r="D111" i="1"/>
  <c r="C112" i="1"/>
  <c r="H113" i="1"/>
  <c r="G114" i="1"/>
  <c r="F116" i="1"/>
  <c r="E117" i="1"/>
  <c r="D119" i="1"/>
  <c r="C120" i="1"/>
  <c r="H121" i="1"/>
  <c r="G122" i="1"/>
  <c r="F124" i="1"/>
  <c r="E125" i="1"/>
  <c r="D127" i="1"/>
  <c r="C128" i="1"/>
  <c r="H129" i="1"/>
  <c r="G130" i="1"/>
  <c r="F132" i="1"/>
  <c r="E133" i="1"/>
  <c r="D135" i="1"/>
  <c r="C136" i="1"/>
  <c r="H137" i="1"/>
  <c r="G138" i="1"/>
  <c r="F140" i="1"/>
  <c r="E141" i="1"/>
  <c r="D143" i="1"/>
  <c r="C144" i="1"/>
  <c r="H145" i="1"/>
  <c r="G146" i="1"/>
  <c r="F148" i="1"/>
  <c r="E149" i="1"/>
  <c r="D151" i="1"/>
  <c r="C152" i="1"/>
  <c r="H153" i="1"/>
  <c r="C156" i="1"/>
  <c r="C157" i="1"/>
  <c r="D158" i="1"/>
  <c r="D159" i="1"/>
  <c r="E161" i="1"/>
  <c r="E162" i="1"/>
  <c r="F163" i="1"/>
  <c r="F164" i="1"/>
  <c r="G166" i="1"/>
  <c r="G167" i="1"/>
  <c r="H168" i="1"/>
  <c r="H169" i="1"/>
  <c r="C172" i="1"/>
  <c r="C173" i="1"/>
  <c r="D174" i="1"/>
  <c r="D175" i="1"/>
  <c r="E177" i="1"/>
  <c r="E178" i="1"/>
  <c r="G179" i="1"/>
  <c r="E182" i="1"/>
  <c r="C185" i="1"/>
  <c r="G188" i="1"/>
  <c r="H200" i="1"/>
  <c r="C207" i="1"/>
  <c r="E221" i="1"/>
  <c r="F264" i="1"/>
  <c r="F186" i="1"/>
  <c r="C188" i="1"/>
  <c r="F189" i="1"/>
  <c r="E190" i="1"/>
  <c r="H191" i="1"/>
  <c r="E193" i="1"/>
  <c r="H194" i="1"/>
  <c r="G195" i="1"/>
  <c r="D197" i="1"/>
  <c r="G198" i="1"/>
  <c r="D200" i="1"/>
  <c r="C201" i="1"/>
  <c r="F202" i="1"/>
  <c r="C204" i="1"/>
  <c r="F205" i="1"/>
  <c r="E206" i="1"/>
  <c r="H207" i="1"/>
  <c r="E209" i="1"/>
  <c r="H210" i="1"/>
  <c r="G211" i="1"/>
  <c r="D213" i="1"/>
  <c r="G214" i="1"/>
  <c r="D216" i="1"/>
  <c r="F217" i="1"/>
  <c r="H218" i="1"/>
  <c r="D220" i="1"/>
  <c r="F221" i="1"/>
  <c r="C223" i="1"/>
  <c r="C225" i="1"/>
  <c r="F232" i="1"/>
  <c r="C240" i="1"/>
  <c r="F248" i="1"/>
  <c r="C257" i="1"/>
  <c r="H179" i="1"/>
  <c r="F180" i="1"/>
  <c r="D181" i="1"/>
  <c r="H181" i="1"/>
  <c r="F182" i="1"/>
  <c r="D183" i="1"/>
  <c r="H183" i="1"/>
  <c r="F184" i="1"/>
  <c r="D185" i="1"/>
  <c r="H185" i="1"/>
  <c r="E187" i="1"/>
  <c r="H188" i="1"/>
  <c r="G189" i="1"/>
  <c r="D191" i="1"/>
  <c r="G192" i="1"/>
  <c r="D194" i="1"/>
  <c r="C195" i="1"/>
  <c r="F196" i="1"/>
  <c r="C198" i="1"/>
  <c r="F199" i="1"/>
  <c r="E200" i="1"/>
  <c r="H201" i="1"/>
  <c r="E203" i="1"/>
  <c r="H204" i="1"/>
  <c r="G205" i="1"/>
  <c r="D207" i="1"/>
  <c r="G208" i="1"/>
  <c r="D210" i="1"/>
  <c r="C211" i="1"/>
  <c r="F212" i="1"/>
  <c r="C214" i="1"/>
  <c r="F215" i="1"/>
  <c r="E216" i="1"/>
  <c r="H221" i="1"/>
  <c r="D223" i="1"/>
  <c r="D225" i="1"/>
  <c r="E228" i="1"/>
  <c r="G232" i="1"/>
  <c r="C241" i="1"/>
  <c r="D258" i="1"/>
  <c r="G266" i="1"/>
  <c r="G186" i="1"/>
  <c r="D188" i="1"/>
  <c r="C189" i="1"/>
  <c r="F190" i="1"/>
  <c r="C192" i="1"/>
  <c r="F193" i="1"/>
  <c r="E194" i="1"/>
  <c r="H195" i="1"/>
  <c r="E197" i="1"/>
  <c r="H198" i="1"/>
  <c r="G199" i="1"/>
  <c r="D201" i="1"/>
  <c r="G202" i="1"/>
  <c r="D204" i="1"/>
  <c r="C205" i="1"/>
  <c r="F206" i="1"/>
  <c r="C208" i="1"/>
  <c r="F209" i="1"/>
  <c r="E210" i="1"/>
  <c r="H211" i="1"/>
  <c r="E213" i="1"/>
  <c r="H214" i="1"/>
  <c r="G215" i="1"/>
  <c r="F216" i="1"/>
  <c r="G217" i="1"/>
  <c r="C219" i="1"/>
  <c r="E220" i="1"/>
  <c r="C222" i="1"/>
  <c r="E223" i="1"/>
  <c r="E225" i="1"/>
  <c r="E229" i="1"/>
  <c r="D242" i="1"/>
  <c r="G250" i="1"/>
  <c r="D259" i="1"/>
  <c r="G267" i="1"/>
  <c r="E179" i="1"/>
  <c r="C180" i="1"/>
  <c r="G180" i="1"/>
  <c r="E181" i="1"/>
  <c r="C182" i="1"/>
  <c r="G182" i="1"/>
  <c r="E183" i="1"/>
  <c r="C184" i="1"/>
  <c r="G184" i="1"/>
  <c r="E185" i="1"/>
  <c r="C186" i="1"/>
  <c r="F187" i="1"/>
  <c r="E188" i="1"/>
  <c r="H189" i="1"/>
  <c r="E191" i="1"/>
  <c r="H192" i="1"/>
  <c r="G193" i="1"/>
  <c r="D195" i="1"/>
  <c r="G196" i="1"/>
  <c r="D198" i="1"/>
  <c r="C199" i="1"/>
  <c r="F200" i="1"/>
  <c r="C202" i="1"/>
  <c r="F203" i="1"/>
  <c r="E204" i="1"/>
  <c r="H205" i="1"/>
  <c r="E207" i="1"/>
  <c r="H208" i="1"/>
  <c r="G209" i="1"/>
  <c r="D211" i="1"/>
  <c r="G212" i="1"/>
  <c r="D214" i="1"/>
  <c r="C215" i="1"/>
  <c r="G216" i="1"/>
  <c r="H217" i="1"/>
  <c r="D219" i="1"/>
  <c r="H220" i="1"/>
  <c r="D222" i="1"/>
  <c r="G225" i="1"/>
  <c r="F229" i="1"/>
  <c r="G234" i="1"/>
  <c r="D243" i="1"/>
  <c r="G251" i="1"/>
  <c r="H268" i="1"/>
  <c r="H186" i="1"/>
  <c r="G187" i="1"/>
  <c r="D189" i="1"/>
  <c r="G190" i="1"/>
  <c r="D192" i="1"/>
  <c r="C193" i="1"/>
  <c r="F194" i="1"/>
  <c r="C196" i="1"/>
  <c r="F197" i="1"/>
  <c r="E198" i="1"/>
  <c r="H199" i="1"/>
  <c r="E201" i="1"/>
  <c r="H202" i="1"/>
  <c r="G203" i="1"/>
  <c r="D205" i="1"/>
  <c r="G206" i="1"/>
  <c r="D208" i="1"/>
  <c r="C209" i="1"/>
  <c r="F210" i="1"/>
  <c r="C212" i="1"/>
  <c r="F213" i="1"/>
  <c r="E214" i="1"/>
  <c r="H215" i="1"/>
  <c r="H216" i="1"/>
  <c r="C218" i="1"/>
  <c r="E219" i="1"/>
  <c r="C224" i="1"/>
  <c r="D226" i="1"/>
  <c r="E230" i="1"/>
  <c r="G235" i="1"/>
  <c r="H252" i="1"/>
  <c r="E261" i="1"/>
  <c r="H269" i="1"/>
  <c r="F179" i="1"/>
  <c r="D180" i="1"/>
  <c r="H180" i="1"/>
  <c r="F181" i="1"/>
  <c r="D182" i="1"/>
  <c r="H182" i="1"/>
  <c r="F183" i="1"/>
  <c r="D184" i="1"/>
  <c r="H184" i="1"/>
  <c r="F185" i="1"/>
  <c r="D186" i="1"/>
  <c r="C187" i="1"/>
  <c r="F188" i="1"/>
  <c r="C190" i="1"/>
  <c r="F191" i="1"/>
  <c r="E192" i="1"/>
  <c r="H193" i="1"/>
  <c r="E195" i="1"/>
  <c r="H196" i="1"/>
  <c r="G197" i="1"/>
  <c r="D199" i="1"/>
  <c r="G200" i="1"/>
  <c r="D202" i="1"/>
  <c r="C203" i="1"/>
  <c r="F204" i="1"/>
  <c r="C206" i="1"/>
  <c r="F207" i="1"/>
  <c r="E208" i="1"/>
  <c r="H209" i="1"/>
  <c r="E211" i="1"/>
  <c r="H212" i="1"/>
  <c r="G213" i="1"/>
  <c r="D215" i="1"/>
  <c r="D218" i="1"/>
  <c r="G219" i="1"/>
  <c r="C221" i="1"/>
  <c r="E222" i="1"/>
  <c r="D224" i="1"/>
  <c r="F230" i="1"/>
  <c r="H236" i="1"/>
  <c r="E245" i="1"/>
  <c r="H253" i="1"/>
  <c r="E262" i="1"/>
  <c r="H187" i="1"/>
  <c r="E189" i="1"/>
  <c r="H190" i="1"/>
  <c r="G191" i="1"/>
  <c r="D193" i="1"/>
  <c r="G194" i="1"/>
  <c r="D196" i="1"/>
  <c r="C197" i="1"/>
  <c r="F198" i="1"/>
  <c r="C200" i="1"/>
  <c r="F201" i="1"/>
  <c r="E202" i="1"/>
  <c r="H203" i="1"/>
  <c r="E205" i="1"/>
  <c r="H206" i="1"/>
  <c r="G207" i="1"/>
  <c r="D209" i="1"/>
  <c r="G210" i="1"/>
  <c r="D212" i="1"/>
  <c r="C213" i="1"/>
  <c r="F214" i="1"/>
  <c r="C216" i="1"/>
  <c r="C217" i="1"/>
  <c r="H219" i="1"/>
  <c r="D221" i="1"/>
  <c r="F222" i="1"/>
  <c r="D227" i="1"/>
  <c r="F231" i="1"/>
  <c r="H237" i="1"/>
  <c r="E246" i="1"/>
  <c r="F263" i="1"/>
  <c r="C272" i="1"/>
  <c r="G233" i="1"/>
  <c r="H234" i="1"/>
  <c r="H235" i="1"/>
  <c r="C238" i="1"/>
  <c r="C239" i="1"/>
  <c r="D240" i="1"/>
  <c r="D241" i="1"/>
  <c r="E243" i="1"/>
  <c r="E244" i="1"/>
  <c r="F245" i="1"/>
  <c r="F246" i="1"/>
  <c r="G248" i="1"/>
  <c r="G249" i="1"/>
  <c r="H250" i="1"/>
  <c r="H251" i="1"/>
  <c r="C254" i="1"/>
  <c r="C255" i="1"/>
  <c r="D256" i="1"/>
  <c r="D257" i="1"/>
  <c r="E259" i="1"/>
  <c r="E260" i="1"/>
  <c r="F261" i="1"/>
  <c r="F262" i="1"/>
  <c r="G264" i="1"/>
  <c r="G265" i="1"/>
  <c r="H266" i="1"/>
  <c r="H267" i="1"/>
  <c r="C270" i="1"/>
  <c r="C271" i="1"/>
  <c r="D272" i="1"/>
  <c r="E226" i="1"/>
  <c r="F227" i="1"/>
  <c r="F228" i="1"/>
  <c r="G230" i="1"/>
  <c r="G231" i="1"/>
  <c r="H232" i="1"/>
  <c r="H233" i="1"/>
  <c r="C236" i="1"/>
  <c r="C237" i="1"/>
  <c r="D238" i="1"/>
  <c r="D239" i="1"/>
  <c r="E241" i="1"/>
  <c r="E242" i="1"/>
  <c r="F243" i="1"/>
  <c r="F244" i="1"/>
  <c r="G246" i="1"/>
  <c r="G247" i="1"/>
  <c r="H248" i="1"/>
  <c r="H249" i="1"/>
  <c r="C252" i="1"/>
  <c r="C253" i="1"/>
  <c r="D254" i="1"/>
  <c r="D255" i="1"/>
  <c r="E257" i="1"/>
  <c r="E258" i="1"/>
  <c r="F259" i="1"/>
  <c r="F260" i="1"/>
  <c r="G262" i="1"/>
  <c r="G263" i="1"/>
  <c r="H264" i="1"/>
  <c r="H265" i="1"/>
  <c r="C268" i="1"/>
  <c r="C269" i="1"/>
  <c r="D270" i="1"/>
  <c r="D271" i="1"/>
  <c r="E224" i="1"/>
  <c r="F225" i="1"/>
  <c r="F226" i="1"/>
  <c r="G228" i="1"/>
  <c r="G229" i="1"/>
  <c r="H230" i="1"/>
  <c r="H231" i="1"/>
  <c r="C234" i="1"/>
  <c r="C235" i="1"/>
  <c r="D236" i="1"/>
  <c r="D237" i="1"/>
  <c r="E239" i="1"/>
  <c r="E240" i="1"/>
  <c r="F241" i="1"/>
  <c r="F242" i="1"/>
  <c r="G244" i="1"/>
  <c r="G245" i="1"/>
  <c r="H246" i="1"/>
  <c r="H247" i="1"/>
  <c r="C250" i="1"/>
  <c r="C251" i="1"/>
  <c r="D252" i="1"/>
  <c r="D253" i="1"/>
  <c r="E255" i="1"/>
  <c r="E256" i="1"/>
  <c r="F257" i="1"/>
  <c r="F258" i="1"/>
  <c r="G260" i="1"/>
  <c r="G261" i="1"/>
  <c r="H262" i="1"/>
  <c r="H263" i="1"/>
  <c r="C266" i="1"/>
  <c r="C267" i="1"/>
  <c r="D268" i="1"/>
  <c r="D269" i="1"/>
  <c r="E271" i="1"/>
  <c r="E272" i="1"/>
  <c r="F223" i="1"/>
  <c r="F224" i="1"/>
  <c r="G226" i="1"/>
  <c r="G227" i="1"/>
  <c r="H228" i="1"/>
  <c r="H229" i="1"/>
  <c r="C232" i="1"/>
  <c r="C233" i="1"/>
  <c r="D234" i="1"/>
  <c r="D235" i="1"/>
  <c r="E237" i="1"/>
  <c r="E238" i="1"/>
  <c r="F239" i="1"/>
  <c r="F240" i="1"/>
  <c r="G242" i="1"/>
  <c r="G243" i="1"/>
  <c r="H244" i="1"/>
  <c r="H245" i="1"/>
  <c r="C248" i="1"/>
  <c r="C249" i="1"/>
  <c r="D250" i="1"/>
  <c r="D251" i="1"/>
  <c r="E253" i="1"/>
  <c r="E254" i="1"/>
  <c r="F255" i="1"/>
  <c r="F256" i="1"/>
  <c r="G258" i="1"/>
  <c r="G259" i="1"/>
  <c r="H260" i="1"/>
  <c r="H261" i="1"/>
  <c r="C264" i="1"/>
  <c r="C265" i="1"/>
  <c r="D266" i="1"/>
  <c r="D267" i="1"/>
  <c r="E269" i="1"/>
  <c r="E270" i="1"/>
  <c r="F271" i="1"/>
  <c r="F272" i="1"/>
  <c r="H226" i="1"/>
  <c r="H227" i="1"/>
  <c r="C230" i="1"/>
  <c r="C231" i="1"/>
  <c r="D232" i="1"/>
  <c r="D233" i="1"/>
  <c r="E235" i="1"/>
  <c r="E236" i="1"/>
  <c r="F237" i="1"/>
  <c r="F238" i="1"/>
  <c r="G240" i="1"/>
  <c r="G241" i="1"/>
  <c r="H242" i="1"/>
  <c r="H243" i="1"/>
  <c r="C246" i="1"/>
  <c r="C247" i="1"/>
  <c r="D248" i="1"/>
  <c r="D249" i="1"/>
  <c r="E251" i="1"/>
  <c r="E252" i="1"/>
  <c r="F253" i="1"/>
  <c r="F254" i="1"/>
  <c r="G256" i="1"/>
  <c r="G257" i="1"/>
  <c r="H258" i="1"/>
  <c r="H259" i="1"/>
  <c r="C262" i="1"/>
  <c r="C263" i="1"/>
  <c r="D264" i="1"/>
  <c r="D265" i="1"/>
  <c r="E267" i="1"/>
  <c r="E268" i="1"/>
  <c r="F269" i="1"/>
  <c r="F270" i="1"/>
  <c r="G272" i="1"/>
  <c r="E217" i="1"/>
  <c r="E218" i="1"/>
  <c r="F219" i="1"/>
  <c r="F220" i="1"/>
  <c r="G222" i="1"/>
  <c r="G223" i="1"/>
  <c r="H224" i="1"/>
  <c r="H225" i="1"/>
  <c r="C228" i="1"/>
  <c r="C229" i="1"/>
  <c r="D230" i="1"/>
  <c r="D231" i="1"/>
  <c r="E233" i="1"/>
  <c r="E234" i="1"/>
  <c r="F235" i="1"/>
  <c r="F236" i="1"/>
  <c r="G238" i="1"/>
  <c r="G239" i="1"/>
  <c r="H240" i="1"/>
  <c r="H241" i="1"/>
  <c r="C244" i="1"/>
  <c r="C245" i="1"/>
  <c r="D246" i="1"/>
  <c r="D247" i="1"/>
  <c r="E249" i="1"/>
  <c r="E250" i="1"/>
  <c r="F251" i="1"/>
  <c r="F252" i="1"/>
  <c r="G254" i="1"/>
  <c r="G255" i="1"/>
  <c r="H256" i="1"/>
  <c r="H257" i="1"/>
  <c r="C260" i="1"/>
  <c r="C261" i="1"/>
  <c r="D262" i="1"/>
  <c r="D263" i="1"/>
  <c r="E265" i="1"/>
  <c r="E266" i="1"/>
  <c r="F267" i="1"/>
  <c r="F268" i="1"/>
  <c r="G270" i="1"/>
  <c r="G271" i="1"/>
  <c r="H272" i="1"/>
  <c r="F218" i="1"/>
  <c r="G220" i="1"/>
  <c r="G221" i="1"/>
  <c r="H222" i="1"/>
  <c r="H223" i="1"/>
  <c r="C226" i="1"/>
  <c r="C227" i="1"/>
  <c r="D228" i="1"/>
  <c r="D229" i="1"/>
  <c r="E231" i="1"/>
  <c r="E232" i="1"/>
  <c r="F233" i="1"/>
  <c r="F234" i="1"/>
  <c r="G236" i="1"/>
  <c r="G237" i="1"/>
  <c r="H238" i="1"/>
  <c r="H239" i="1"/>
  <c r="C242" i="1"/>
  <c r="C243" i="1"/>
  <c r="D244" i="1"/>
  <c r="D245" i="1"/>
  <c r="E247" i="1"/>
  <c r="E248" i="1"/>
  <c r="F249" i="1"/>
  <c r="F250" i="1"/>
  <c r="G252" i="1"/>
  <c r="G253" i="1"/>
  <c r="H254" i="1"/>
  <c r="H255" i="1"/>
  <c r="C258" i="1"/>
  <c r="C259" i="1"/>
  <c r="D260" i="1"/>
  <c r="D261" i="1"/>
  <c r="E263" i="1"/>
  <c r="E264" i="1"/>
  <c r="F265" i="1"/>
  <c r="F266" i="1"/>
  <c r="G268" i="1"/>
  <c r="G269" i="1"/>
  <c r="H270" i="1"/>
  <c r="H271" i="1"/>
  <c r="C3" i="1"/>
  <c r="H3" i="1"/>
  <c r="G3" i="1"/>
  <c r="D3" i="1"/>
  <c r="E3" i="1"/>
  <c r="F3" i="1"/>
  <c r="E2" i="1" l="1"/>
  <c r="E2" i="1" a="1"/>
  <c r="D2" i="1"/>
  <c r="D2" i="1" a="1"/>
  <c r="C2" i="1"/>
  <c r="C2" i="1" a="1"/>
  <c r="F2" i="1"/>
  <c r="F2" i="1" a="1"/>
  <c r="H2" i="1"/>
  <c r="H2" i="1" a="1"/>
  <c r="G2" i="1"/>
  <c r="G2" i="1" a="1"/>
  <c r="B2" i="1"/>
  <c r="B2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<sst xmlns="http://schemas.openxmlformats.org/spreadsheetml/2006/main" count="8" uniqueCount="8">
  <si>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DATE</t>
  </si>
  <si>
    <t>PX_LAST</t>
  </si>
  <si>
    <t>IDX_EST_DVD_CURR_YR</t>
  </si>
  <si>
    <t>IDX_EST_DVD_NXT_YR</t>
  </si>
  <si>
    <t>BEST_ROE</t>
  </si>
  <si>
    <t>DVD_PAYOUT_RATIO</t>
  </si>
  <si>
    <t>USGG12M</t>
  </si>
  <si>
    <t>VIX1Y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</si>
</sst>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Data...2549806622</v>
        <stp/>
        <stp>BDP|15247657591422006246</stp>
        <tr r="F2" s="1"/>
      </tp>
      <tp t="s">
        <v>#N/A N/A</v>
        <stp/>
        <stp>BDH|16501858060614802693</stp>
        <tr r="D196" s="1"/>
      </tp>
      <tp t="s">
        <v>#N/A N/A</v>
        <stp/>
        <stp>BDH|12030654957962081930</stp>
        <tr r="C228" s="1"/>
      </tp>
      <tp t="s">
        <v>#N/A N/A</v>
        <stp/>
        <stp>BDH|11694771894764020162</stp>
        <tr r="D266" s="1"/>
      </tp>
      <tp t="s">
        <v>#N/A N/A</v>
        <stp/>
        <stp>BDH|16588259223749150517</stp>
        <tr r="C182" s="1"/>
      </tp>
      <tp t="s">
        <v>#N/A N/A</v>
        <stp/>
        <stp>BDH|13948673286331233693</stp>
        <tr r="G176" s="1"/>
      </tp>
      <tp t="s">
        <v>#N/A N/A</v>
        <stp/>
        <stp>BDH|13788077522693014803</stp>
        <tr r="E102" s="1"/>
      </tp>
      <tp t="s">
        <v>#N/A N/A</v>
        <stp/>
        <stp>BDH|15433500373528166549</stp>
        <tr r="C109" s="1"/>
      </tp>
      <tp t="b">
        <v>0</v>
        <stp/>
        <stp>BDH|11609952343501367712</stp>
        <tr r="E53" s="1"/>
      </tp>
      <tp t="s">
        <v>#N/A N/A</v>
        <stp/>
        <stp>BDH|13424945502746570657</stp>
        <tr r="G259" s="1"/>
      </tp>
      <tp t="s">
        <v>#N/A N/A</v>
        <stp/>
        <stp>BDH|15645921564657301713</stp>
        <tr r="F267" s="1"/>
      </tp>
      <tp t="s">
        <v>#N/A N/A</v>
        <stp/>
        <stp>BDH|17111969338831895659</stp>
        <tr r="H150" s="1"/>
      </tp>
      <tp t="s">
        <v>#N/A N/A</v>
        <stp/>
        <stp>BDH|14064506752159084709</stp>
        <tr r="H132" s="1"/>
      </tp>
      <tp t="b">
        <v>0</v>
        <stp/>
        <stp>BDH|15670317057719267072</stp>
        <tr r="D22" s="1"/>
      </tp>
      <tp t="s">
        <v>#N/A N/A</v>
        <stp/>
        <stp>BDH|18153810552368143778</stp>
        <tr r="F139" s="1"/>
      </tp>
      <tp t="s">
        <v>#N/A N/A</v>
        <stp/>
        <stp>BDH|12767525799665843108</stp>
        <tr r="C84" s="1"/>
      </tp>
      <tp t="s">
        <v>#N/A N/A</v>
        <stp/>
        <stp>BDH|15741250251648128062</stp>
        <tr r="F84" s="1"/>
      </tp>
      <tp t="s">
        <v>#N/A N/A</v>
        <stp/>
        <stp>BDH|15727851954520032214</stp>
        <tr r="H127" s="1"/>
      </tp>
      <tp t="s">
        <v>#N/A N/A</v>
        <stp/>
        <stp>BDH|15490935591586016919</stp>
        <tr r="H250" s="1"/>
      </tp>
      <tp t="s">
        <v>#N/A N/A</v>
        <stp/>
        <stp>BDH|17299915419490986544</stp>
        <tr r="C129" s="1"/>
      </tp>
      <tp t="s">
        <v>#N/A N/A</v>
        <stp/>
        <stp>BDH|14548850748131774392</stp>
        <tr r="C134" s="1"/>
      </tp>
      <tp t="b">
        <v>0</v>
        <stp/>
        <stp>BDH|10068159495991263344</stp>
        <tr r="E10" s="1"/>
      </tp>
      <tp t="s">
        <v>#N/A N/A</v>
        <stp/>
        <stp>BDH|18238171830092463286</stp>
        <tr r="F206" s="1"/>
      </tp>
      <tp t="s">
        <v>#N/A N/A</v>
        <stp/>
        <stp>BDH|11206127057238748790</stp>
        <tr r="F200" s="1"/>
      </tp>
      <tp t="s">
        <v>#N/A N/A</v>
        <stp/>
        <stp>BDH|15817731195909092871</stp>
        <tr r="D174" s="1"/>
      </tp>
      <tp t="s">
        <v>#N/A N/A</v>
        <stp/>
        <stp>BDH|13623845327293962049</stp>
        <tr r="D232" s="1"/>
      </tp>
      <tp t="s">
        <v>#N/A N/A</v>
        <stp/>
        <stp>BDH|18056343756200955438</stp>
        <tr r="G110" s="1"/>
      </tp>
      <tp t="b">
        <v>0</v>
        <stp/>
        <stp>BDH|11303703638766447972</stp>
        <tr r="G43" s="1"/>
      </tp>
      <tp t="s">
        <v>#N/A N/A</v>
        <stp/>
        <stp>BDH|10762214430183611882</stp>
        <tr r="D161" s="1"/>
      </tp>
      <tp t="s">
        <v>#N/A N/A</v>
        <stp/>
        <stp>BDH|11041590344569389354</stp>
        <tr r="F238" s="1"/>
      </tp>
      <tp t="s">
        <v>#N/A N/A</v>
        <stp/>
        <stp>BDH|16859468034729296235</stp>
        <tr r="D102" s="1"/>
      </tp>
      <tp t="b">
        <v>0</v>
        <stp/>
        <stp>BDH|17405827564493118087</stp>
        <tr r="C15" s="1"/>
      </tp>
      <tp t="s">
        <v>#N/A N/A</v>
        <stp/>
        <stp>BDH|13323174312728814149</stp>
        <tr r="F214" s="1"/>
      </tp>
      <tp t="b">
        <v>0</v>
        <stp/>
        <stp>BDH|15597114597523803410</stp>
        <tr r="D19" s="1"/>
      </tp>
      <tp t="s">
        <v>#N/A N/A</v>
        <stp/>
        <stp>BDH|13396850163433844403</stp>
        <tr r="E94" s="1"/>
      </tp>
      <tp t="s">
        <v>#N/A N/A</v>
        <stp/>
        <stp>BDH|16481455963406915865</stp>
        <tr r="H251" s="1"/>
      </tp>
      <tp t="s">
        <v>#N/A N/A</v>
        <stp/>
        <stp>BDH|10690139447927600881</stp>
        <tr r="E243" s="1"/>
      </tp>
      <tp t="s">
        <v>#N/A N/A</v>
        <stp/>
        <stp>BDH|10844751313995617942</stp>
        <tr r="D220" s="1"/>
      </tp>
      <tp t="s">
        <v>#N/A N/A</v>
        <stp/>
        <stp>BDH|10306288921848739228</stp>
        <tr r="H266" s="1"/>
      </tp>
      <tp t="b">
        <v>0</v>
        <stp/>
        <stp>BDH|12779579145521373895</stp>
        <tr r="H35" s="1"/>
      </tp>
      <tp t="s">
        <v>#N/A N/A</v>
        <stp/>
        <stp>BDH|16830481218518630110</stp>
        <tr r="C100" s="1"/>
      </tp>
      <tp t="s">
        <v>#N/A N/A</v>
        <stp/>
        <stp>BDH|11259527800829995779</stp>
        <tr r="C180" s="1"/>
      </tp>
      <tp t="s">
        <v>#N/A N/A</v>
        <stp/>
        <stp>BDH|14300558784325875644</stp>
        <tr r="E174" s="1"/>
      </tp>
      <tp t="s">
        <v>#N/A N/A</v>
        <stp/>
        <stp>BDH|16504181565072514936</stp>
        <tr r="D122" s="1"/>
      </tp>
      <tp t="s">
        <v>#N/A N/A</v>
        <stp/>
        <stp>BDH|15496909256484955754</stp>
        <tr r="H129" s="1"/>
      </tp>
      <tp t="s">
        <v>#N/A N/A</v>
        <stp/>
        <stp>BDH|18217629474434475618</stp>
        <tr r="H211" s="1"/>
      </tp>
      <tp t="s">
        <v>#N/A N/A</v>
        <stp/>
        <stp>BDH|15767959324792169741</stp>
        <tr r="E207" s="1"/>
      </tp>
      <tp t="s">
        <v>#N/A N/A</v>
        <stp/>
        <stp>BDH|12825087685836087768</stp>
        <tr r="H217" s="1"/>
      </tp>
      <tp t="s">
        <v>#N/A N/A</v>
        <stp/>
        <stp>BDH|17495318875938619054</stp>
        <tr r="D85" s="1"/>
      </tp>
      <tp t="s">
        <v>#N/A N/A</v>
        <stp/>
        <stp>BDH|12353002101809104002</stp>
        <tr r="D110" s="1"/>
      </tp>
      <tp t="s">
        <v>#N/A N/A</v>
        <stp/>
        <stp>BDH|16269793121609816111</stp>
        <tr r="F144" s="1"/>
      </tp>
      <tp t="s">
        <v>#N/A N/A</v>
        <stp/>
        <stp>BDH|11266496987021722783</stp>
        <tr r="H188" s="1"/>
      </tp>
      <tp t="s">
        <v>#N/A N/A</v>
        <stp/>
        <stp>BDH|15586614013011648833</stp>
        <tr r="D257" s="1"/>
      </tp>
      <tp t="s">
        <v>#N/A N/A</v>
        <stp/>
        <stp>BDH|12138116097433252277</stp>
        <tr r="C272" s="1"/>
      </tp>
      <tp t="s">
        <v>#N/A N/A</v>
        <stp/>
        <stp>BDH|15550593914542954837</stp>
        <tr r="G67" s="1"/>
      </tp>
      <tp t="s">
        <v>#N/A N/A</v>
        <stp/>
        <stp>BDH|11056830080762965885</stp>
        <tr r="F159" s="1"/>
      </tp>
      <tp t="s">
        <v>#N/A N/A</v>
        <stp/>
        <stp>BDH|11687009786651265307</stp>
        <tr r="G183" s="1"/>
      </tp>
      <tp t="s">
        <v>#N/A N/A</v>
        <stp/>
        <stp>BDH|13732635417116789915</stp>
        <tr r="C206" s="1"/>
      </tp>
      <tp t="s">
        <v>#N/A N/A</v>
        <stp/>
        <stp>BDH|14265743428312356889</stp>
        <tr r="H115" s="1"/>
      </tp>
      <tp t="s">
        <v>#N/A N/A</v>
        <stp/>
        <stp>BDH|13088726620915366849</stp>
        <tr r="G220" s="1"/>
      </tp>
      <tp t="s">
        <v>#N/A N/A</v>
        <stp/>
        <stp>BDH|16243847778702843030</stp>
        <tr r="C195" s="1"/>
      </tp>
      <tp t="s">
        <v>#N/A N/A</v>
        <stp/>
        <stp>BDH|11210075285102652036</stp>
        <tr r="C204" s="1"/>
      </tp>
      <tp t="b">
        <v>0</v>
        <stp/>
        <stp>BDH|11151341302831787851</stp>
        <tr r="H50" s="1"/>
      </tp>
      <tp t="s">
        <v>#N/A N/A</v>
        <stp/>
        <stp>BDH|16531496899143161301</stp>
        <tr r="C126" s="1"/>
      </tp>
      <tp t="s">
        <v>#N/A N/A</v>
        <stp/>
        <stp>BDH|14495221292880601460</stp>
        <tr r="H66" s="1"/>
      </tp>
      <tp t="b">
        <v>0</v>
        <stp/>
        <stp>BDH|15326257319235395889</stp>
        <tr r="E31" s="1"/>
      </tp>
      <tp t="s">
        <v>#N/A N/A</v>
        <stp/>
        <stp>BDH|13196787109499759603</stp>
        <tr r="F164" s="1"/>
      </tp>
      <tp t="s">
        <v>#N/A N/A</v>
        <stp/>
        <stp>BDH|18245131631900747109</stp>
        <tr r="F72" s="1"/>
      </tp>
      <tp t="s">
        <v>#N/A N/A</v>
        <stp/>
        <stp>BDH|16431400802798976186</stp>
        <tr r="E272" s="1"/>
      </tp>
      <tp t="s">
        <v>#N/A N/A</v>
        <stp/>
        <stp>BDH|14144026375218525046</stp>
        <tr r="G66" s="1"/>
      </tp>
      <tp t="s">
        <v>#N/A N/A</v>
        <stp/>
        <stp>BDH|11989837469682439610</stp>
        <tr r="C72" s="1"/>
      </tp>
      <tp t="s">
        <v>#N/A N/A</v>
        <stp/>
        <stp>BDH|15203909364639567857</stp>
        <tr r="C193" s="1"/>
      </tp>
      <tp t="s">
        <v>#N/A N/A</v>
        <stp/>
        <stp>BDH|15624029938415064854</stp>
        <tr r="D180" s="1"/>
      </tp>
      <tp t="s">
        <v>#N/A N/A</v>
        <stp/>
        <stp>BDH|11715198056606721868</stp>
        <tr r="C67" s="1"/>
      </tp>
      <tp t="s">
        <v>#N/A N/A</v>
        <stp/>
        <stp>BDH|11988619170558829392</stp>
        <tr r="F95" s="1"/>
      </tp>
      <tp t="s">
        <v>#N/A N/A</v>
        <stp/>
        <stp>BDH|11929500483245225202</stp>
        <tr r="H170" s="1"/>
      </tp>
      <tp t="s">
        <v>#N/A N/A</v>
        <stp/>
        <stp>BDH|13349637675208990166</stp>
        <tr r="F111" s="1"/>
      </tp>
      <tp t="s">
        <v>#N/A N/A</v>
        <stp/>
        <stp>BDH|17909495439543657859</stp>
        <tr r="E205" s="1"/>
      </tp>
      <tp t="s">
        <v>#N/A N/A</v>
        <stp/>
        <stp>BDH|18282737904590688496</stp>
        <tr r="F249" s="1"/>
      </tp>
      <tp t="b">
        <v>0</v>
        <stp/>
        <stp>BDH|10798896414626378442</stp>
        <tr r="E18" s="1"/>
      </tp>
      <tp t="s">
        <v>#N/A N/A</v>
        <stp/>
        <stp>BDH|11043282194195557441</stp>
        <tr r="C202" s="1"/>
      </tp>
      <tp t="s">
        <v>#N/A N/A</v>
        <stp/>
        <stp>BDH|17246981956213823392</stp>
        <tr r="D189" s="1"/>
      </tp>
      <tp t="s">
        <v>#N/A N/A</v>
        <stp/>
        <stp>BDH|12534491867773667813</stp>
        <tr r="F220" s="1"/>
      </tp>
      <tp t="s">
        <v>#N/A N/A</v>
        <stp/>
        <stp>BDH|12313865942066029388</stp>
        <tr r="F135" s="1"/>
      </tp>
      <tp t="s">
        <v>#N/A N/A</v>
        <stp/>
        <stp>BDH|15523567890327420587</stp>
        <tr r="D78" s="1"/>
      </tp>
      <tp t="s">
        <v>#N/A N/A</v>
        <stp/>
        <stp>BDH|13447950647772046795</stp>
        <tr r="E241" s="1"/>
      </tp>
      <tp t="s">
        <v>#N/A N/A</v>
        <stp/>
        <stp>BDH|16126000299375456132</stp>
        <tr r="H239" s="1"/>
      </tp>
      <tp t="b">
        <v>0</v>
        <stp/>
        <stp>BDH|13864003120199120379</stp>
        <tr r="F18" s="1"/>
      </tp>
      <tp t="s">
        <v>#N/A N/A</v>
        <stp/>
        <stp>BDH|18225618816566341286</stp>
        <tr r="G230" s="1"/>
      </tp>
      <tp t="s">
        <v>#N/A N/A</v>
        <stp/>
        <stp>BDH|17770313829958987586</stp>
        <tr r="C238" s="1"/>
      </tp>
      <tp t="s">
        <v>#N/A N/A</v>
        <stp/>
        <stp>BDH|11861930846202353501</stp>
        <tr r="G150" s="1"/>
      </tp>
      <tp t="s">
        <v>#N/A N/A</v>
        <stp/>
        <stp>BDH|15775502307532835963</stp>
        <tr r="E240" s="1"/>
      </tp>
      <tp t="s">
        <v>#N/A N/A</v>
        <stp/>
        <stp>BDH|10536161237832482818</stp>
        <tr r="F123" s="1"/>
      </tp>
      <tp t="s">
        <v>#N/A N/A</v>
        <stp/>
        <stp>BDH|11872211749967753867</stp>
        <tr r="H122" s="1"/>
      </tp>
      <tp t="s">
        <v>#N/A N/A</v>
        <stp/>
        <stp>BDH|15151030808475207894</stp>
        <tr r="G65" s="1"/>
      </tp>
      <tp t="s">
        <v>#N/A N/A</v>
        <stp/>
        <stp>BDH|13786965312991585267</stp>
        <tr r="F212" s="1"/>
      </tp>
      <tp t="s">
        <v>#N/A N/A</v>
        <stp/>
        <stp>BDH|10687386688286075567</stp>
        <tr r="D270" s="1"/>
      </tp>
      <tp t="b">
        <v>0</v>
        <stp/>
        <stp>BDH|11578937564924377219</stp>
        <tr r="E52" s="1"/>
      </tp>
      <tp t="s">
        <v>#N/A N/A</v>
        <stp/>
        <stp>BDH|17180827637577090345</stp>
        <tr r="F258" s="1"/>
      </tp>
      <tp t="s">
        <v>#N/A N/A</v>
        <stp/>
        <stp>BDH|14169233992613755443</stp>
        <tr r="G121" s="1"/>
      </tp>
      <tp t="b">
        <v>0</v>
        <stp/>
        <stp>BDH|15368371339848754585</stp>
        <tr r="G57" s="1"/>
      </tp>
      <tp t="s">
        <v>#N/A N/A</v>
        <stp/>
        <stp>BDH|10575226186955434775</stp>
        <tr r="F177" s="1"/>
      </tp>
      <tp t="s">
        <v>#N/A N/A</v>
        <stp/>
        <stp>BDH|16791954099637865910</stp>
        <tr r="H225" s="1"/>
      </tp>
      <tp t="s">
        <v>#N/A N/A</v>
        <stp/>
        <stp>BDH|15571843773290303236</stp>
        <tr r="D141" s="1"/>
      </tp>
      <tp t="s">
        <v>#N/A N/A</v>
        <stp/>
        <stp>BDH|12545073664114238862</stp>
        <tr r="H186" s="1"/>
      </tp>
      <tp t="s">
        <v>#N/A N/A</v>
        <stp/>
        <stp>BDH|12405187802612398981</stp>
        <tr r="C201" s="1"/>
      </tp>
      <tp t="s">
        <v>#N/A N/A</v>
        <stp/>
        <stp>BDH|16884647486678935865</stp>
        <tr r="C81" s="1"/>
      </tp>
      <tp t="s">
        <v>#N/A N/A</v>
        <stp/>
        <stp>BDH|12466716627816154961</stp>
        <tr r="E74" s="1"/>
      </tp>
      <tp t="s">
        <v>#N/A N/A</v>
        <stp/>
        <stp>BDH|14178463231172226914</stp>
        <tr r="H180" s="1"/>
      </tp>
      <tp t="s">
        <v>#N/A N/A</v>
        <stp/>
        <stp>BDH|11853039601840780988</stp>
        <tr r="F216" s="1"/>
      </tp>
      <tp t="s">
        <v>#N/A N/A</v>
        <stp/>
        <stp>BDH|18400357465033585655</stp>
        <tr r="G92" s="1"/>
      </tp>
      <tp t="s">
        <v>#N/A N/A</v>
        <stp/>
        <stp>BDH|15851484866276280903</stp>
        <tr r="F3" s="1"/>
      </tp>
      <tp t="s">
        <v>#N/A N/A</v>
        <stp/>
        <stp>BDH|11066088030633986955</stp>
        <tr r="F75" s="1"/>
      </tp>
      <tp t="s">
        <v>#N/A N/A</v>
        <stp/>
        <stp>BDH|12074695270292730998</stp>
        <tr r="F256" s="1"/>
      </tp>
      <tp t="b">
        <v>0</v>
        <stp/>
        <stp>BDH|10579831412206686757</stp>
        <tr r="G48" s="1"/>
      </tp>
      <tp t="s">
        <v>#N/A N/A</v>
        <stp/>
        <stp>BDH|10578834154963090650</stp>
        <tr r="F271" s="1"/>
      </tp>
      <tp t="b">
        <v>0</v>
        <stp/>
        <stp>BDH|10247468398021997421</stp>
        <tr r="C23" s="1"/>
      </tp>
      <tp t="s">
        <v>#N/A N/A</v>
        <stp/>
        <stp>BDH|14722052782470539439</stp>
        <tr r="H183" s="1"/>
      </tp>
      <tp t="s">
        <v>#N/A N/A</v>
        <stp/>
        <stp>BDH|10973805247966768207</stp>
        <tr r="E93" s="1"/>
      </tp>
      <tp t="s">
        <v>#N/A N/A</v>
        <stp/>
        <stp>BDH|15903905940096118618</stp>
        <tr r="H235" s="1"/>
      </tp>
      <tp t="s">
        <v>#N/A N/A</v>
        <stp/>
        <stp>BDH|14115339657862915850</stp>
        <tr r="F167" s="1"/>
      </tp>
      <tp t="b">
        <v>0</v>
        <stp/>
        <stp>BDH|12208696865602043871</stp>
        <tr r="E48" s="1"/>
      </tp>
      <tp t="s">
        <v>#N/A N/A</v>
        <stp/>
        <stp>BDH|11900060363937348876</stp>
        <tr r="D184" s="1"/>
      </tp>
      <tp t="s">
        <v>#N/A N/A</v>
        <stp/>
        <stp>BDH|15394265465031051886</stp>
        <tr r="H248" s="1"/>
      </tp>
      <tp t="s">
        <v>#N/A N/A</v>
        <stp/>
        <stp>BDH|14612964478523071109</stp>
        <tr r="D245" s="1"/>
      </tp>
      <tp t="s">
        <v>#N/A N/A</v>
        <stp/>
        <stp>BDH|15767283615068724651</stp>
        <tr r="F93" s="1"/>
      </tp>
      <tp t="s">
        <v>#N/A N/A</v>
        <stp/>
        <stp>BDH|10136892860964577260</stp>
        <tr r="G71" s="1"/>
      </tp>
      <tp t="s">
        <v>#N/A N/A</v>
        <stp/>
        <stp>BDH|14908129350920214823</stp>
        <tr r="D79" s="1"/>
      </tp>
      <tp t="s">
        <v>#N/A N/A</v>
        <stp/>
        <stp>BDH|15714822708581298448</stp>
        <tr r="D160" s="1"/>
      </tp>
      <tp t="s">
        <v>#N/A N/A</v>
        <stp/>
        <stp>BDH|11130701771430320981</stp>
        <tr r="E206" s="1"/>
      </tp>
      <tp t="b">
        <v>0</v>
        <stp/>
        <stp>BDH|16411370690711092597</stp>
        <tr r="C58" s="1"/>
      </tp>
      <tp t="s">
        <v>#N/A N/A</v>
        <stp/>
        <stp>BDH|12688283296274232507</stp>
        <tr r="C255" s="1"/>
      </tp>
      <tp t="b">
        <v>0</v>
        <stp/>
        <stp>BDH|15976895577662961040</stp>
        <tr r="C13" s="1"/>
      </tp>
      <tp t="s">
        <v>#N/A N/A</v>
        <stp/>
        <stp>BDH|10574926756635986150</stp>
        <tr r="H62" s="1"/>
      </tp>
      <tp t="b">
        <v>0</v>
        <stp/>
        <stp>BDH|13832894541571959646</stp>
        <tr r="D50" s="1"/>
      </tp>
      <tp t="s">
        <v>#N/A N/A</v>
        <stp/>
        <stp>BDH|11877756626478242458</stp>
        <tr r="D212" s="1"/>
      </tp>
      <tp t="s">
        <v>#N/A N/A</v>
        <stp/>
        <stp>BDH|13131337186858911812</stp>
        <tr r="G266" s="1"/>
      </tp>
      <tp t="s">
        <v>#N/A N/A</v>
        <stp/>
        <stp>BDH|14553739849428111727</stp>
        <tr r="G98" s="1"/>
      </tp>
      <tp t="s">
        <v>#N/A N/A</v>
        <stp/>
        <stp>BDH|14510195894043227767</stp>
        <tr r="D150" s="1"/>
      </tp>
      <tp t="b">
        <v>0</v>
        <stp/>
        <stp>BDH|18446574015781332594</stp>
        <tr r="F54" s="1"/>
      </tp>
      <tp t="s">
        <v>#N/A N/A</v>
        <stp/>
        <stp>BDH|11577739849652642861</stp>
        <tr r="G89" s="1"/>
      </tp>
      <tp t="b">
        <v>0</v>
        <stp/>
        <stp>BDH|14140271769489658168</stp>
        <tr r="F11" s="1"/>
      </tp>
      <tp t="s">
        <v>#N/A N/A</v>
        <stp/>
        <stp>BDH|13101222587282860334</stp>
        <tr r="E259" s="1"/>
      </tp>
      <tp t="s">
        <v>#N/A N/A</v>
        <stp/>
        <stp>BDH|14352882961144523604</stp>
        <tr r="D267" s="1"/>
      </tp>
      <tp t="b">
        <v>0</v>
        <stp/>
        <stp>BDH|11978672688287144164</stp>
        <tr r="F41" s="1"/>
      </tp>
      <tp t="s">
        <v>#N/A N/A</v>
        <stp/>
        <stp>BDH|11117523367203399872</stp>
        <tr r="E163" s="1"/>
      </tp>
      <tp t="s">
        <v>#N/A N/A</v>
        <stp/>
        <stp>BDH|17312819233707512247</stp>
        <tr r="G81" s="1"/>
      </tp>
      <tp t="s">
        <v>#N/A N/A</v>
        <stp/>
        <stp>BDH|11887048799974652530</stp>
        <tr r="D170" s="1"/>
      </tp>
      <tp t="s">
        <v>#N/A N/A</v>
        <stp/>
        <stp>BDH|15473096420049466797</stp>
        <tr r="F248" s="1"/>
      </tp>
      <tp t="s">
        <v>#N/A N/A</v>
        <stp/>
        <stp>BDH|11478980767004994328</stp>
        <tr r="D211" s="1"/>
      </tp>
      <tp t="s">
        <v>#N/A N/A</v>
        <stp/>
        <stp>BDH|12764772726886103879</stp>
        <tr r="D67" s="1"/>
      </tp>
      <tp t="s">
        <v>#N/A N/A</v>
        <stp/>
        <stp>BDH|14880869573583793196</stp>
        <tr r="F172" s="1"/>
      </tp>
      <tp t="s">
        <v>#N/A N/A</v>
        <stp/>
        <stp>BDH|13676306152519405536</stp>
        <tr r="E159" s="1"/>
      </tp>
      <tp t="s">
        <v>#N/A N/A</v>
        <stp/>
        <stp>BDH|15485006475599360271</stp>
        <tr r="H214" s="1"/>
      </tp>
      <tp t="s">
        <v>#N/A N/A</v>
        <stp/>
        <stp>BDH|16107273377619422305</stp>
        <tr r="H255" s="1"/>
      </tp>
      <tp t="s">
        <v>#N/A N/A</v>
        <stp/>
        <stp>BDH|16464921764726631612</stp>
        <tr r="F80" s="1"/>
      </tp>
      <tp t="s">
        <v>#N/A N/A</v>
        <stp/>
        <stp>BDH|12147473962149307026</stp>
        <tr r="E96" s="1"/>
      </tp>
      <tp t="s">
        <v>#N/A N/A</v>
        <stp/>
        <stp>BDH|13587292152974375984</stp>
        <tr r="D92" s="1"/>
      </tp>
      <tp t="b">
        <v>0</v>
        <stp/>
        <stp>BDH|12471431934948224449</stp>
        <tr r="C22" s="1"/>
      </tp>
      <tp t="b">
        <v>0</v>
        <stp/>
        <stp>BDH|12197160002302054816</stp>
        <tr r="C16" s="1"/>
      </tp>
      <tp t="b">
        <v>0</v>
        <stp/>
        <stp>BDH|17178214120528674623</stp>
        <tr r="H36" s="1"/>
      </tp>
      <tp t="b">
        <v>0</v>
        <stp/>
        <stp>BDH|15211552547658046543</stp>
        <tr r="G33" s="1"/>
      </tp>
      <tp t="s">
        <v>#N/A N/A</v>
        <stp/>
        <stp>BDH|17373565582644315701</stp>
        <tr r="H272" s="1"/>
      </tp>
      <tp t="b">
        <v>0</v>
        <stp/>
        <stp>BDH|18286720110720647717</stp>
        <tr r="D60" s="1"/>
      </tp>
      <tp t="b">
        <v>0</v>
        <stp/>
        <stp>BDH|15577716083735165613</stp>
        <tr r="F52" s="1"/>
      </tp>
      <tp t="s">
        <v>#N/A N/A</v>
        <stp/>
        <stp>BDH|13336242090144341532</stp>
        <tr r="F121" s="1"/>
      </tp>
      <tp t="s">
        <v>#N/A N/A</v>
        <stp/>
        <stp>BDH|17199373342720204907</stp>
        <tr r="G257" s="1"/>
      </tp>
      <tp t="s">
        <v>#N/A N/A</v>
        <stp/>
        <stp>BDH|16184671460369503652</stp>
        <tr r="E169" s="1"/>
      </tp>
      <tp t="s">
        <v>#N/A N/A</v>
        <stp/>
        <stp>BDH|15264267847122228871</stp>
        <tr r="F112" s="1"/>
      </tp>
      <tp t="s">
        <v>#N/A N/A</v>
        <stp/>
        <stp>BDH|15007783525591279894</stp>
        <tr r="H155" s="1"/>
      </tp>
      <tp t="s">
        <v>#N/A N/A</v>
        <stp/>
        <stp>BDH|14889802805051884436</stp>
        <tr r="D114" s="1"/>
      </tp>
      <tp t="b">
        <v>0</v>
        <stp/>
        <stp>BDH|18231196572280991782</stp>
        <tr r="C55" s="1"/>
      </tp>
      <tp t="s">
        <v>#N/A N/A</v>
        <stp/>
        <stp>BDH|15479850948972569244</stp>
        <tr r="H93" s="1"/>
      </tp>
      <tp t="s">
        <v>#N/A N/A</v>
        <stp/>
        <stp>BDH|13393810149044275225</stp>
        <tr r="F244" s="1"/>
      </tp>
      <tp t="s">
        <v>#N/A N/A</v>
        <stp/>
        <stp>BDH|14680212894543961517</stp>
        <tr r="G108" s="1"/>
      </tp>
      <tp t="s">
        <v>#N/A N/A</v>
        <stp/>
        <stp>BDH|15507408512400411993</stp>
        <tr r="D131" s="1"/>
      </tp>
      <tp t="s">
        <v>#N/A N/A</v>
        <stp/>
        <stp>BDH|15345560179729290747</stp>
        <tr r="D86" s="1"/>
      </tp>
      <tp t="s">
        <v>#N/A N/A</v>
        <stp/>
        <stp>BDH|13873542691457682115</stp>
        <tr r="H195" s="1"/>
      </tp>
      <tp t="b">
        <v>0</v>
        <stp/>
        <stp>BDH|11590038536253376892</stp>
        <tr r="F16" s="1"/>
      </tp>
      <tp t="b">
        <v>0</v>
        <stp/>
        <stp>BDH|11617190794534303420</stp>
        <tr r="C20" s="1"/>
      </tp>
      <tp t="b">
        <v>0</v>
        <stp/>
        <stp>BDH|13814887213353991071</stp>
        <tr r="C7" s="1"/>
      </tp>
      <tp t="s">
        <v>#N/A N/A</v>
        <stp/>
        <stp>BDH|12908578962501354934</stp>
        <tr r="C130" s="1"/>
      </tp>
      <tp t="s">
        <v>#N/A N/A</v>
        <stp/>
        <stp>BDH|15819417611819430008</stp>
        <tr r="C244" s="1"/>
      </tp>
      <tp t="s">
        <v>#N/A N/A</v>
        <stp/>
        <stp>BDH|12107688093057785328</stp>
        <tr r="D116" s="1"/>
      </tp>
      <tp t="s">
        <v>#N/A N/A</v>
        <stp/>
        <stp>BDH|17597662429459403312</stp>
        <tr r="C147" s="1"/>
      </tp>
      <tp t="s">
        <v>#N/A N/A</v>
        <stp/>
        <stp>BDH|17042541293855941714</stp>
        <tr r="C156" s="1"/>
      </tp>
      <tp t="s">
        <v>#N/A N/A</v>
        <stp/>
        <stp>BDH|13325808711984863752</stp>
        <tr r="F68" s="1"/>
      </tp>
      <tp t="s">
        <v>#N/A N/A</v>
        <stp/>
        <stp>BDH|13775152637160367897</stp>
        <tr r="D261" s="1"/>
      </tp>
      <tp t="s">
        <v>#N/A N/A</v>
        <stp/>
        <stp>BDH|10030051529782237904</stp>
        <tr r="H76" s="1"/>
      </tp>
      <tp t="s">
        <v>#N/A N/A</v>
        <stp/>
        <stp>BDH|18305461927442820547</stp>
        <tr r="D231" s="1"/>
      </tp>
      <tp t="s">
        <v>#N/A N/A</v>
        <stp/>
        <stp>BDH|17862350692841388521</stp>
        <tr r="D107" s="1"/>
      </tp>
      <tp t="s">
        <v>#N/A N/A</v>
        <stp/>
        <stp>BDH|10555898988088471617</stp>
        <tr r="E261" s="1"/>
      </tp>
      <tp t="b">
        <v>0</v>
        <stp/>
        <stp>BDH|14674870836345036465</stp>
        <tr r="E5" s="1"/>
      </tp>
      <tp t="s">
        <v>#N/A N/A</v>
        <stp/>
        <stp>BDH|13441790261345491981</stp>
        <tr r="D240" s="1"/>
      </tp>
      <tp t="b">
        <v>0</v>
        <stp/>
        <stp>BDH|15593752590623689669</stp>
        <tr r="G56" s="1"/>
      </tp>
      <tp t="s">
        <v>#N/A N/A</v>
        <stp/>
        <stp>BDH|14047764232356550810</stp>
        <tr r="E239" s="1"/>
      </tp>
      <tp t="s">
        <v>#N/A N/A</v>
        <stp/>
        <stp>BDH|11758713074046351916</stp>
        <tr r="E212" s="1"/>
      </tp>
      <tp t="b">
        <v>0</v>
        <stp/>
        <stp>BDH|17189575847948784053</stp>
        <tr r="H16" s="1"/>
      </tp>
      <tp t="b">
        <v>0</v>
        <stp/>
        <stp>BDH|16678891758687155258</stp>
        <tr r="F30" s="1"/>
      </tp>
      <tp t="s">
        <v>#N/A N/A</v>
        <stp/>
        <stp>BDH|10164514974858722419</stp>
        <tr r="C172" s="1"/>
      </tp>
      <tp t="b">
        <v>0</v>
        <stp/>
        <stp>BDH|10170537081237421456</stp>
        <tr r="C54" s="1"/>
      </tp>
      <tp t="s">
        <v>#N/A N/A</v>
        <stp/>
        <stp>BDH|18299565490699814396</stp>
        <tr r="E63" s="1"/>
      </tp>
      <tp t="s">
        <v>#N/A N/A</v>
        <stp/>
        <stp>BDH|16520610867040638802</stp>
        <tr r="D3" s="1"/>
      </tp>
      <tp t="s">
        <v>#N/A N/A</v>
        <stp/>
        <stp>BDH|15882484373788003069</stp>
        <tr r="D219" s="1"/>
      </tp>
      <tp t="s">
        <v>#N/A N/A</v>
        <stp/>
        <stp>BDH|11234421735400935894</stp>
        <tr r="D192" s="1"/>
      </tp>
      <tp t="s">
        <v>#N/A N/A</v>
        <stp/>
        <stp>BDH|14346963561680265529</stp>
        <tr r="G250" s="1"/>
      </tp>
      <tp t="s">
        <v>#N/A N/A</v>
        <stp/>
        <stp>BDH|10464671597566186717</stp>
        <tr r="D262" s="1"/>
      </tp>
      <tp t="s">
        <v>#N/A N/A</v>
        <stp/>
        <stp>BDH|12742856937382659575</stp>
        <tr r="E167" s="1"/>
      </tp>
      <tp t="s">
        <v>#N/A N/A</v>
        <stp/>
        <stp>BDH|16199738338428904473</stp>
        <tr r="H246" s="1"/>
      </tp>
      <tp t="s">
        <v>#N/A N/A</v>
        <stp/>
        <stp>BDH|17376477066849351265</stp>
        <tr r="C159" s="1"/>
      </tp>
      <tp t="s">
        <v>#N/A N/A</v>
        <stp/>
        <stp>BDH|17305862864040775712</stp>
        <tr r="C217" s="1"/>
      </tp>
      <tp t="s">
        <v>#N/A N/A</v>
        <stp/>
        <stp>BDH|13409323695005340271</stp>
        <tr r="D106" s="1"/>
      </tp>
      <tp t="b">
        <v>0</v>
        <stp/>
        <stp>BDH|12716571454409168524</stp>
        <tr r="C60" s="1"/>
      </tp>
      <tp t="s">
        <v>#N/A N/A</v>
        <stp/>
        <stp>BDH|17151723946952279812</stp>
        <tr r="D111" s="1"/>
      </tp>
      <tp t="b">
        <v>0</v>
        <stp/>
        <stp>BDH|12760542436372492874</stp>
        <tr r="C48" s="1"/>
      </tp>
      <tp t="b">
        <v>0</v>
        <stp/>
        <stp>BDH|10773325458499377188</stp>
        <tr r="G54" s="1"/>
      </tp>
      <tp t="s">
        <v>#N/A N/A</v>
        <stp/>
        <stp>BDH|18042447640163632548</stp>
        <tr r="E113" s="1"/>
      </tp>
      <tp t="s">
        <v>#N/A N/A</v>
        <stp/>
        <stp>BDH|15293921134848249909</stp>
        <tr r="C118" s="1"/>
      </tp>
      <tp t="s">
        <v>#N/A N/A</v>
        <stp/>
        <stp>BDH|18257738580471413834</stp>
        <tr r="F234" s="1"/>
      </tp>
      <tp t="s">
        <v>#N/A N/A</v>
        <stp/>
        <stp>BDH|11741769133598971324</stp>
        <tr r="G194" s="1"/>
      </tp>
      <tp t="s">
        <v>#N/A N/A</v>
        <stp/>
        <stp>BDH|17238153288512297241</stp>
        <tr r="F78" s="1"/>
      </tp>
      <tp t="s">
        <v>#N/A N/A</v>
        <stp/>
        <stp>BDH|17043085462817175828</stp>
        <tr r="F76" s="1"/>
      </tp>
      <tp t="b">
        <v>0</v>
        <stp/>
        <stp>BDH|13662199983342585617</stp>
        <tr r="C31" s="1"/>
      </tp>
      <tp t="s">
        <v>#N/A N/A</v>
        <stp/>
        <stp>BDH|14684276919728297112</stp>
        <tr r="D94" s="1"/>
      </tp>
      <tp t="b">
        <v>0</v>
        <stp/>
        <stp>BDH|14662794995303794769</stp>
        <tr r="G53" s="1"/>
      </tp>
      <tp t="s">
        <v>#N/A N/A</v>
        <stp/>
        <stp>BDH|14286153799735662755</stp>
        <tr r="F4" s="1"/>
      </tp>
      <tp t="s">
        <v>#N/A N/A</v>
        <stp/>
        <stp>BDH|10514568998332767001</stp>
        <tr r="D68" s="1"/>
      </tp>
      <tp t="s">
        <v>#N/A N/A</v>
        <stp/>
        <stp>BDH|12123528099393784313</stp>
        <tr r="C219" s="1"/>
      </tp>
      <tp t="b">
        <v>0</v>
        <stp/>
        <stp>BDH|17172611051419526380</stp>
        <tr r="D7" s="1"/>
      </tp>
      <tp t="b">
        <v>0</v>
        <stp/>
        <stp>BDH|17428834577302822442</stp>
        <tr r="C49" s="1"/>
      </tp>
      <tp t="s">
        <v>#N/A N/A</v>
        <stp/>
        <stp>BDH|15628595412408626749</stp>
        <tr r="F103" s="1"/>
      </tp>
      <tp t="s">
        <v>#N/A N/A</v>
        <stp/>
        <stp>BDH|17599179955245007882</stp>
        <tr r="H204" s="1"/>
      </tp>
      <tp t="b">
        <v>0</v>
        <stp/>
        <stp>BDH|14759386446458686511</stp>
        <tr r="D52" s="1"/>
      </tp>
      <tp t="s">
        <v>#N/A N/A</v>
        <stp/>
        <stp>BDH|14596716633237051996</stp>
        <tr r="E127" s="1"/>
      </tp>
      <tp t="s">
        <v>#N/A N/A</v>
        <stp/>
        <stp>BDH|12898974552225309503</stp>
        <tr r="G211" s="1"/>
      </tp>
      <tp t="s">
        <v>#N/A N/A</v>
        <stp/>
        <stp>BDH|10115070206947670988</stp>
        <tr r="D165" s="1"/>
      </tp>
      <tp t="s">
        <v>#N/A Requesting Data...2583164198</v>
        <stp/>
        <stp>BDP|14272345757108525513</stp>
        <tr r="C2" s="1"/>
      </tp>
      <tp t="s">
        <v>#N/A N/A</v>
        <stp/>
        <stp>BDH|14442571756708301369</stp>
        <tr r="C132" s="1"/>
      </tp>
      <tp t="s">
        <v>#N/A N/A</v>
        <stp/>
        <stp>BDH|14812177157519959626</stp>
        <tr r="F239" s="1"/>
      </tp>
      <tp t="s">
        <v>#N/A N/A</v>
        <stp/>
        <stp>BDH|12300370413866412910</stp>
        <tr r="H234" s="1"/>
      </tp>
      <tp t="s">
        <v>#N/A N/A</v>
        <stp/>
        <stp>BDH|10570428995951767308</stp>
        <tr r="D179" s="1"/>
      </tp>
      <tp t="s">
        <v>#N/A N/A</v>
        <stp/>
        <stp>BDH|14621047856046968885</stp>
        <tr r="F245" s="1"/>
      </tp>
      <tp t="b">
        <v>0</v>
        <stp/>
        <stp>BDH|11485993496707681991</stp>
        <tr r="F8" s="1"/>
      </tp>
      <tp t="s">
        <v>#N/A N/A</v>
        <stp/>
        <stp>BDH|16175000486223371207</stp>
        <tr r="G72" s="1"/>
      </tp>
      <tp t="s">
        <v>#N/A N/A</v>
        <stp/>
        <stp>BDH|17607246387781790350</stp>
        <tr r="H224" s="1"/>
      </tp>
      <tp t="b">
        <v>0</v>
        <stp/>
        <stp>BDH|17053510583635115045</stp>
        <tr r="G38" s="1"/>
      </tp>
      <tp t="s">
        <v>#N/A N/A</v>
        <stp/>
        <stp>BDH|14035524766969357111</stp>
        <tr r="H116" s="1"/>
      </tp>
      <tp t="s">
        <v>#N/A N/A</v>
        <stp/>
        <stp>BDH|10805674990546062692</stp>
        <tr r="H111" s="1"/>
      </tp>
      <tp t="s">
        <v>#N/A N/A</v>
        <stp/>
        <stp>BDH|14890552800257770939</stp>
        <tr r="C207" s="1"/>
      </tp>
      <tp t="s">
        <v>#N/A N/A</v>
        <stp/>
        <stp>BDH|13080547778967074945</stp>
        <tr r="F251" s="1"/>
      </tp>
      <tp t="s">
        <v>#N/A N/A</v>
        <stp/>
        <stp>BDH|17663576620896330998</stp>
        <tr r="E161" s="1"/>
      </tp>
      <tp t="s">
        <v>#N/A N/A</v>
        <stp/>
        <stp>BDH|15551854277013521680</stp>
        <tr r="D206" s="1"/>
      </tp>
      <tp t="s">
        <v>#N/A N/A</v>
        <stp/>
        <stp>BDH|17051197936378132238</stp>
        <tr r="G264" s="1"/>
      </tp>
      <tp t="s">
        <v>#N/A N/A</v>
        <stp/>
        <stp>BDH|14495263064059355680</stp>
        <tr r="G258" s="1"/>
      </tp>
      <tp t="b">
        <v>0</v>
        <stp/>
        <stp>BDH|14774460037315050999</stp>
        <tr r="D12" s="1"/>
      </tp>
      <tp t="b">
        <v>0</v>
        <stp/>
        <stp>BDH|16521518797482845747</stp>
        <tr r="D37" s="1"/>
      </tp>
      <tp t="s">
        <v>#N/A N/A</v>
        <stp/>
        <stp>BDH|11293288483214299046</stp>
        <tr r="A3" s="1"/>
      </tp>
      <tp t="s">
        <v>#N/A N/A</v>
        <stp/>
        <stp>BDH|13297258679649044011</stp>
        <tr r="F189" s="1"/>
      </tp>
      <tp t="b">
        <v>0</v>
        <stp/>
        <stp>BDH|14461420424745407890</stp>
        <tr r="D29" s="1"/>
      </tp>
      <tp t="b">
        <v>0</v>
        <stp/>
        <stp>BDH|18278122711822700598</stp>
        <tr r="E6" s="1"/>
      </tp>
      <tp t="s">
        <v>#N/A N/A</v>
        <stp/>
        <stp>BDH|17538939165016530183</stp>
        <tr r="E191" s="1"/>
      </tp>
      <tp t="b">
        <v>0</v>
        <stp/>
        <stp>BDH|13806426974999934693</stp>
        <tr r="E41" s="1"/>
      </tp>
      <tp t="s">
        <v>#N/A N/A</v>
        <stp/>
        <stp>BDH|14299905817586822537</stp>
        <tr r="F64" s="1"/>
      </tp>
      <tp t="s">
        <v>#N/A Requesting Data...3720822819</v>
        <stp/>
        <stp>BDP|11208218733369758543</stp>
        <tr r="E2" s="1"/>
      </tp>
      <tp t="s">
        <v>#N/A N/A</v>
        <stp/>
        <stp>BDH|10379079834477788868</stp>
        <tr r="C268" s="1"/>
      </tp>
      <tp t="s">
        <v>#N/A N/A</v>
        <stp/>
        <stp>BDH|13136878781899362653</stp>
        <tr r="F221" s="1"/>
      </tp>
      <tp t="s">
        <v>#N/A N/A</v>
        <stp/>
        <stp>BDH|12867697726768420221</stp>
        <tr r="G169" s="1"/>
      </tp>
      <tp t="s">
        <v>#N/A N/A</v>
        <stp/>
        <stp>BDH|10457961940202419373</stp>
        <tr r="C94" s="1"/>
      </tp>
      <tp t="s">
        <v>#N/A N/A</v>
        <stp/>
        <stp>BDH|14476547045170232972</stp>
        <tr r="D169" s="1"/>
      </tp>
      <tp t="s">
        <v>#N/A N/A</v>
        <stp/>
        <stp>BDH|17094908263280450471</stp>
        <tr r="C150" s="1"/>
      </tp>
      <tp t="s">
        <v>#N/A N/A</v>
        <stp/>
        <stp>BDH|12082733794645319567</stp>
        <tr r="H124" s="1"/>
      </tp>
      <tp t="s">
        <v>#N/A N/A</v>
        <stp/>
        <stp>BDH|17758582336534803939</stp>
        <tr r="D241" s="1"/>
      </tp>
      <tp t="b">
        <v>0</v>
        <stp/>
        <stp>BDH|15467914941575047169</stp>
        <tr r="G6" s="1"/>
      </tp>
      <tp t="b">
        <v>0</v>
        <stp/>
        <stp>BDH|16975180733390139817</stp>
        <tr r="D23" s="1"/>
      </tp>
      <tp t="s">
        <v>#N/A N/A</v>
        <stp/>
        <stp>BDH|13493291360039685297</stp>
        <tr r="H114" s="1"/>
      </tp>
      <tp t="s">
        <v>#N/A N/A</v>
        <stp/>
        <stp>BDH|12145911606092768537</stp>
        <tr r="H216" s="1"/>
      </tp>
      <tp t="s">
        <v>#N/A N/A</v>
        <stp/>
        <stp>BDH|17775805144914248347</stp>
        <tr r="F184" s="1"/>
      </tp>
      <tp t="s">
        <v>#N/A N/A</v>
        <stp/>
        <stp>BDH|17286544946329494316</stp>
        <tr r="H215" s="1"/>
      </tp>
      <tp t="s">
        <v>#N/A N/A</v>
        <stp/>
        <stp>BDH|10522337867390279964</stp>
        <tr r="F101" s="1"/>
      </tp>
      <tp t="b">
        <v>0</v>
        <stp/>
        <stp>BDH|11005366672041428840</stp>
        <tr r="G19" s="1"/>
      </tp>
      <tp t="s">
        <v>#N/A N/A</v>
        <stp/>
        <stp>BDH|18432446638810990350</stp>
        <tr r="E244" s="1"/>
      </tp>
      <tp t="s">
        <v>#N/A N/A</v>
        <stp/>
        <stp>BDH|11199911725111662741</stp>
        <tr r="G142" s="1"/>
      </tp>
      <tp t="s">
        <v>#N/A N/A</v>
        <stp/>
        <stp>BDH|16465120389265174691</stp>
        <tr r="H165" s="1"/>
      </tp>
      <tp t="s">
        <v>#N/A N/A</v>
        <stp/>
        <stp>BDH|17767977032026319767</stp>
        <tr r="F79" s="1"/>
      </tp>
      <tp t="b">
        <v>0</v>
        <stp/>
        <stp>BDH|15534194786188488886</stp>
        <tr r="G47" s="1"/>
      </tp>
      <tp t="b">
        <v>0</v>
        <stp/>
        <stp>BDH|10623207214477390897</stp>
        <tr r="C34" s="1"/>
      </tp>
      <tp t="s">
        <v>#N/A N/A</v>
        <stp/>
        <stp>BDH|13636577692453931018</stp>
        <tr r="G198" s="1"/>
      </tp>
      <tp t="s">
        <v>#N/A N/A</v>
        <stp/>
        <stp>BDH|15656555999740935589</stp>
        <tr r="G204" s="1"/>
      </tp>
      <tp t="s">
        <v>#N/A N/A</v>
        <stp/>
        <stp>BDH|12974500357176021857</stp>
        <tr r="D154" s="1"/>
      </tp>
      <tp t="s">
        <v>#N/A N/A</v>
        <stp/>
        <stp>BDH|10064604827348527093</stp>
        <tr r="H253" s="1"/>
      </tp>
      <tp t="s">
        <v>#N/A N/A</v>
        <stp/>
        <stp>BDH|12169182785390512738</stp>
        <tr r="F156" s="1"/>
      </tp>
      <tp t="s">
        <v>#N/A N/A</v>
        <stp/>
        <stp>BDH|14436750212447897913</stp>
        <tr r="G111" s="1"/>
      </tp>
      <tp t="s">
        <v>#N/A N/A</v>
        <stp/>
        <stp>BDH|15720293664898322554</stp>
        <tr r="C192" s="1"/>
      </tp>
      <tp t="s">
        <v>#N/A N/A</v>
        <stp/>
        <stp>BDH|13397687458125826973</stp>
        <tr r="H72" s="1"/>
      </tp>
      <tp t="s">
        <v>#N/A N/A</v>
        <stp/>
        <stp>BDH|18230866638459446645</stp>
        <tr r="D87" s="1"/>
      </tp>
      <tp t="b">
        <v>0</v>
        <stp/>
        <stp>BDH|11146894322815066256</stp>
        <tr r="G49" s="1"/>
      </tp>
      <tp t="s">
        <v>#N/A N/A</v>
        <stp/>
        <stp>BDH|12711420513418089390</stp>
        <tr r="G151" s="1"/>
      </tp>
      <tp t="s">
        <v>#N/A N/A</v>
        <stp/>
        <stp>BDH|10497446021769621386</stp>
        <tr r="E76" s="1"/>
      </tp>
      <tp t="s">
        <v>#N/A N/A</v>
        <stp/>
        <stp>BDH|10363389751752625838</stp>
        <tr r="E79" s="1"/>
      </tp>
      <tp t="s">
        <v>#N/A N/A</v>
        <stp/>
        <stp>BDH|11568793368658336486</stp>
        <tr r="D97" s="1"/>
      </tp>
      <tp t="s">
        <v>#N/A N/A</v>
        <stp/>
        <stp>BDH|14278064794691620091</stp>
        <tr r="E171" s="1"/>
      </tp>
      <tp t="s">
        <v>#N/A N/A</v>
        <stp/>
        <stp>BDH|18048624327633298396</stp>
        <tr r="H90" s="1"/>
      </tp>
      <tp t="s">
        <v>#N/A N/A</v>
        <stp/>
        <stp>BDH|15433460998982178653</stp>
        <tr r="H198" s="1"/>
      </tp>
      <tp t="s">
        <v>#N/A N/A</v>
        <stp/>
        <stp>BDH|17755218221593926806</stp>
        <tr r="H65" s="1"/>
      </tp>
      <tp t="s">
        <v>#N/A N/A</v>
        <stp/>
        <stp>BDH|11514444338479805208</stp>
        <tr r="C95" s="1"/>
      </tp>
      <tp t="s">
        <v>#N/A N/A</v>
        <stp/>
        <stp>BDH|14130921949686364280</stp>
        <tr r="C225" s="1"/>
      </tp>
      <tp t="s">
        <v>#N/A N/A</v>
        <stp/>
        <stp>BDH|11302867575235359624</stp>
        <tr r="G171" s="1"/>
      </tp>
      <tp t="s">
        <v>#N/A N/A</v>
        <stp/>
        <stp>BDH|14115841274690435641</stp>
        <tr r="D142" s="1"/>
      </tp>
      <tp t="s">
        <v>#N/A N/A</v>
        <stp/>
        <stp>BDH|16152907745927568115</stp>
        <tr r="D166" s="1"/>
      </tp>
      <tp t="s">
        <v>#N/A N/A</v>
        <stp/>
        <stp>BDH|10341735983574048636</stp>
        <tr r="F231" s="1"/>
      </tp>
      <tp t="s">
        <v>#N/A N/A</v>
        <stp/>
        <stp>BDH|14098388955106851950</stp>
        <tr r="C183" s="1"/>
      </tp>
      <tp t="s">
        <v>#N/A N/A</v>
        <stp/>
        <stp>BDH|10561562143699549564</stp>
        <tr r="E134" s="1"/>
      </tp>
      <tp t="s">
        <v>#N/A N/A</v>
        <stp/>
        <stp>BDH|16893838703753914020</stp>
        <tr r="D101" s="1"/>
      </tp>
      <tp t="s">
        <v>#N/A N/A</v>
        <stp/>
        <stp>BDH|13598023330918721534</stp>
        <tr r="F226" s="1"/>
      </tp>
      <tp t="s">
        <v>#N/A N/A</v>
        <stp/>
        <stp>BDH|17731514706918405764</stp>
        <tr r="C239" s="1"/>
      </tp>
      <tp t="s">
        <v>#N/A N/A</v>
        <stp/>
        <stp>BDH|17644065852618345736</stp>
        <tr r="C89" s="1"/>
      </tp>
      <tp t="s">
        <v>#N/A N/A</v>
        <stp/>
        <stp>BDH|15886251476725022898</stp>
        <tr r="C140" s="1"/>
      </tp>
      <tp t="b">
        <v>0</v>
        <stp/>
        <stp>BDH|15274987599181220949</stp>
        <tr r="H37" s="1"/>
      </tp>
      <tp t="s">
        <v>#N/A N/A</v>
        <stp/>
        <stp>BDH|11202195069233026871</stp>
        <tr r="F65" s="1"/>
      </tp>
      <tp t="s">
        <v>#N/A N/A</v>
        <stp/>
        <stp>BDH|11427726939189885137</stp>
        <tr r="D177" s="1"/>
      </tp>
      <tp t="s">
        <v>#N/A N/A</v>
        <stp/>
        <stp>BDH|16087179112719583242</stp>
        <tr r="H126" s="1"/>
      </tp>
      <tp t="s">
        <v>#N/A N/A</v>
        <stp/>
        <stp>BDH|11761225663598897085</stp>
        <tr r="H240" s="1"/>
      </tp>
      <tp t="b">
        <v>0</v>
        <stp/>
        <stp>BDH|13317076738425894827</stp>
        <tr r="G14" s="1"/>
      </tp>
      <tp t="s">
        <v>#N/A N/A</v>
        <stp/>
        <stp>BDH|11278622365318067436</stp>
        <tr r="E183" s="1"/>
      </tp>
      <tp t="s">
        <v>#N/A N/A</v>
        <stp/>
        <stp>BDH|13436270443908869016</stp>
        <tr r="H154" s="1"/>
      </tp>
      <tp t="s">
        <v>#N/A N/A</v>
        <stp/>
        <stp>BDH|10120893347712750308</stp>
        <tr r="C153" s="1"/>
      </tp>
      <tp t="s">
        <v>#N/A N/A</v>
        <stp/>
        <stp>BDH|16915748405418941493</stp>
        <tr r="H153" s="1"/>
      </tp>
      <tp t="s">
        <v>#N/A N/A</v>
        <stp/>
        <stp>BDH|13316582841887148838</stp>
        <tr r="H176" s="1"/>
      </tp>
      <tp t="b">
        <v>0</v>
        <stp/>
        <stp>BDH|13422747989955169450</stp>
        <tr r="H5" s="1"/>
      </tp>
      <tp t="s">
        <v>#N/A N/A</v>
        <stp/>
        <stp>BDH|17961404468340563899</stp>
        <tr r="E218" s="1"/>
      </tp>
      <tp t="s">
        <v>#N/A N/A</v>
        <stp/>
        <stp>BDH|12800237089414961166</stp>
        <tr r="E177" s="1"/>
      </tp>
      <tp t="s">
        <v>#N/A N/A</v>
        <stp/>
        <stp>BDH|11717556654544319886</stp>
        <tr r="G244" s="1"/>
      </tp>
      <tp t="s">
        <v>#N/A N/A</v>
        <stp/>
        <stp>BDH|17291035974674180989</stp>
        <tr r="C144" s="1"/>
      </tp>
      <tp t="s">
        <v>#N/A N/A</v>
        <stp/>
        <stp>BDH|16807769638609945636</stp>
        <tr r="C198" s="1"/>
      </tp>
      <tp t="s">
        <v>#N/A N/A</v>
        <stp/>
        <stp>BDH|12531879170717506795</stp>
        <tr r="G253" s="1"/>
      </tp>
      <tp t="s">
        <v>#N/A N/A</v>
        <stp/>
        <stp>BDH|14769987092069665058</stp>
        <tr r="E195" s="1"/>
      </tp>
      <tp t="s">
        <v>#N/A N/A</v>
        <stp/>
        <stp>BDH|11662350857183893920</stp>
        <tr r="G132" s="1"/>
      </tp>
      <tp t="b">
        <v>0</v>
        <stp/>
        <stp>BDH|15231158955638468486</stp>
        <tr r="C36" s="1"/>
      </tp>
      <tp t="s">
        <v>#N/A N/A</v>
        <stp/>
        <stp>BDH|16348948558350021711</stp>
        <tr r="G122" s="1"/>
      </tp>
      <tp t="b">
        <v>0</v>
        <stp/>
        <stp>BDH|16917019138462722562</stp>
        <tr r="D56" s="1"/>
      </tp>
      <tp t="s">
        <v>#N/A N/A</v>
        <stp/>
        <stp>BDH|10454020255526557174</stp>
        <tr r="E263" s="1"/>
      </tp>
      <tp t="b">
        <v>0</v>
        <stp/>
        <stp>BDH|14407317656883494362</stp>
        <tr r="H33" s="1"/>
      </tp>
      <tp t="s">
        <v>#N/A N/A</v>
        <stp/>
        <stp>BDH|13940882485259067849</stp>
        <tr r="F155" s="1"/>
      </tp>
      <tp t="b">
        <v>0</v>
        <stp/>
        <stp>BDH|14789957524474320950</stp>
        <tr r="F60" s="1"/>
      </tp>
      <tp t="s">
        <v>#N/A N/A</v>
        <stp/>
        <stp>BDH|13501458312730147439</stp>
        <tr r="G177" s="1"/>
      </tp>
      <tp t="s">
        <v>#N/A N/A</v>
        <stp/>
        <stp>BDH|14405506813711668311</stp>
        <tr r="F71" s="1"/>
      </tp>
      <tp t="s">
        <v>#N/A N/A</v>
        <stp/>
        <stp>BDH|14621203156377195621</stp>
        <tr r="H100" s="1"/>
      </tp>
      <tp t="b">
        <v>0</v>
        <stp/>
        <stp>BDH|11577478653396471462</stp>
        <tr r="F46" s="1"/>
      </tp>
      <tp t="s">
        <v>#N/A N/A</v>
        <stp/>
        <stp>BDH|12002468297598387518</stp>
        <tr r="D259" s="1"/>
      </tp>
      <tp t="b">
        <v>0</v>
        <stp/>
        <stp>BDH|12330777186857799866</stp>
        <tr r="E58" s="1"/>
      </tp>
      <tp t="s">
        <v>#N/A N/A</v>
        <stp/>
        <stp>BDH|10032566414975770368</stp>
        <tr r="C197" s="1"/>
      </tp>
      <tp t="s">
        <v>#N/A N/A</v>
        <stp/>
        <stp>BDH|10017950535408771029</stp>
        <tr r="E75" s="1"/>
      </tp>
      <tp t="s">
        <v>#N/A N/A</v>
        <stp/>
        <stp>BDH|10574458793357177877</stp>
        <tr r="D230" s="1"/>
      </tp>
      <tp t="s">
        <v>#N/A N/A</v>
        <stp/>
        <stp>BDH|14935566138091009126</stp>
        <tr r="H203" s="1"/>
      </tp>
      <tp t="b">
        <v>0</v>
        <stp/>
        <stp>BDH|11274011622038150954</stp>
        <tr r="H40" s="1"/>
      </tp>
      <tp t="b">
        <v>0</v>
        <stp/>
        <stp>BDH|12795632070576828789</stp>
        <tr r="F51" s="1"/>
      </tp>
      <tp t="s">
        <v>#N/A N/A</v>
        <stp/>
        <stp>BDH|12495325126925493409</stp>
        <tr r="F94" s="1"/>
      </tp>
      <tp t="b">
        <v>0</v>
        <stp/>
        <stp>BDH|15269067803984120312</stp>
        <tr r="G7" s="1"/>
      </tp>
      <tp t="s">
        <v>#N/A N/A</v>
        <stp/>
        <stp>BDH|10057783548955520425</stp>
        <tr r="E233" s="1"/>
      </tp>
      <tp t="s">
        <v>#N/A N/A</v>
        <stp/>
        <stp>BDH|17446584070362931528</stp>
        <tr r="D173" s="1"/>
      </tp>
      <tp t="b">
        <v>0</v>
        <stp/>
        <stp>BDH|12686541668127940441</stp>
        <tr r="E57" s="1"/>
      </tp>
      <tp t="s">
        <v>#N/A N/A</v>
        <stp/>
        <stp>BDH|13227115325076618475</stp>
        <tr r="G237" s="1"/>
      </tp>
      <tp t="s">
        <v>#N/A N/A</v>
        <stp/>
        <stp>BDH|12620037239332955121</stp>
        <tr r="H163" s="1"/>
      </tp>
      <tp t="s">
        <v>#N/A N/A</v>
        <stp/>
        <stp>BDH|10234690557848558904</stp>
        <tr r="C145" s="1"/>
      </tp>
      <tp t="s">
        <v>#N/A N/A</v>
        <stp/>
        <stp>BDH|12237219612247003480</stp>
        <tr r="C177" s="1"/>
      </tp>
      <tp t="s">
        <v>#N/A N/A</v>
        <stp/>
        <stp>BDH|13232325248901987788</stp>
        <tr r="E100" s="1"/>
      </tp>
      <tp t="b">
        <v>0</v>
        <stp/>
        <stp>BDH|11451536336925999012</stp>
        <tr r="F13" s="1"/>
      </tp>
      <tp t="b">
        <v>0</v>
        <stp/>
        <stp>BDH|14983783748951140408</stp>
        <tr r="F49" s="1"/>
      </tp>
      <tp t="s">
        <v>#N/A N/A</v>
        <stp/>
        <stp>BDH|16894428148974846021</stp>
        <tr r="C186" s="1"/>
      </tp>
      <tp t="s">
        <v>#N/A N/A</v>
        <stp/>
        <stp>BDH|12985265856921905684</stp>
        <tr r="D155" s="1"/>
      </tp>
      <tp t="s">
        <v>#N/A N/A</v>
        <stp/>
        <stp>BDH|13059440927546826132</stp>
        <tr r="E175" s="1"/>
      </tp>
      <tp t="b">
        <v>0</v>
        <stp/>
        <stp>BDH|16219885493764818195</stp>
        <tr r="E35" s="1"/>
      </tp>
      <tp t="s">
        <v>#N/A N/A</v>
        <stp/>
        <stp>BDH|12653008804279179986</stp>
        <tr r="F204" s="1"/>
      </tp>
      <tp t="b">
        <v>0</v>
        <stp/>
        <stp>BDH|14351540028076553715</stp>
        <tr r="G29" s="1"/>
      </tp>
      <tp t="b">
        <v>0</v>
        <stp/>
        <stp>BDH|17762060850289214990</stp>
        <tr r="C18" s="1"/>
      </tp>
      <tp t="s">
        <v>#N/A N/A</v>
        <stp/>
        <stp>BDH|14935431627431398132</stp>
        <tr r="D168" s="1"/>
      </tp>
      <tp t="s">
        <v>#N/A N/A</v>
        <stp/>
        <stp>BDH|10815073674123237641</stp>
        <tr r="G174" s="1"/>
      </tp>
      <tp t="s">
        <v>#N/A N/A</v>
        <stp/>
        <stp>BDH|13290280374574654058</stp>
        <tr r="E89" s="1"/>
      </tp>
      <tp t="s">
        <v>#N/A N/A</v>
        <stp/>
        <stp>BDH|14825552834054071441</stp>
        <tr r="F191" s="1"/>
      </tp>
      <tp t="b">
        <v>0</v>
        <stp/>
        <stp>BDH|15922763273045697261</stp>
        <tr r="H26" s="1"/>
      </tp>
      <tp t="s">
        <v>#N/A N/A</v>
        <stp/>
        <stp>BDH|10228174278321928582</stp>
        <tr r="H162" s="1"/>
      </tp>
      <tp t="s">
        <v>#N/A N/A</v>
        <stp/>
        <stp>BDH|14591886045743006973</stp>
        <tr r="H85" s="1"/>
      </tp>
      <tp t="s">
        <v>#N/A N/A</v>
        <stp/>
        <stp>BDH|12923405894019692442</stp>
        <tr r="E181" s="1"/>
      </tp>
      <tp t="s">
        <v>#N/A N/A</v>
        <stp/>
        <stp>BDH|16937481676541171688</stp>
        <tr r="G210" s="1"/>
      </tp>
      <tp t="s">
        <v>#N/A N/A</v>
        <stp/>
        <stp>BDH|10502403318671369606</stp>
        <tr r="H264" s="1"/>
      </tp>
      <tp t="s">
        <v>#N/A N/A</v>
        <stp/>
        <stp>BDH|14243284766534659645</stp>
        <tr r="C139" s="1"/>
      </tp>
      <tp t="s">
        <v>#N/A N/A</v>
        <stp/>
        <stp>BDH|16276808525788940608</stp>
        <tr r="D238" s="1"/>
      </tp>
    </main>
    <main first="bofaddin.rtdserver">
      <tp t="s">
        <v>#N/A Requesting Data...3963044145</v>
        <stp/>
        <stp>BDP|15744960734425273976</stp>
        <tr r="B2" s="1"/>
      </tp>
      <tp t="s">
        <v>#N/A N/A</v>
        <stp/>
        <stp>BDH|12089965032222036957</stp>
        <tr r="G227" s="1"/>
      </tp>
      <tp t="s">
        <v>#N/A N/A</v>
        <stp/>
        <stp>BDH|10111678522047411013</stp>
        <tr r="C127" s="1"/>
      </tp>
      <tp t="s">
        <v>#N/A N/A</v>
        <stp/>
        <stp>BDH|15351308263036284530</stp>
        <tr r="D183" s="1"/>
      </tp>
      <tp t="s">
        <v>#N/A N/A</v>
        <stp/>
        <stp>BDH|10158748144733572341</stp>
        <tr r="F140" s="1"/>
      </tp>
      <tp t="s">
        <v>#N/A N/A</v>
        <stp/>
        <stp>BDH|14689368807011110563</stp>
        <tr r="D191" s="1"/>
      </tp>
      <tp t="b">
        <v>0</v>
        <stp/>
        <stp>BDH|10852626455367623793</stp>
        <tr r="C24" s="1"/>
      </tp>
      <tp t="s">
        <v>#N/A N/A</v>
        <stp/>
        <stp>BDH|14466849026335494825</stp>
        <tr r="D147" s="1"/>
      </tp>
      <tp t="s">
        <v>#N/A N/A</v>
        <stp/>
        <stp>BDH|11150131130076192601</stp>
        <tr r="D81" s="1"/>
      </tp>
      <tp t="b">
        <v>0</v>
        <stp/>
        <stp>BDH|14418063221002142710</stp>
        <tr r="H29" s="1"/>
      </tp>
      <tp t="b">
        <v>0</v>
        <stp/>
        <stp>BDH|13542668163259786951</stp>
        <tr r="G13" s="1"/>
      </tp>
      <tp t="s">
        <v>#N/A N/A</v>
        <stp/>
        <stp>BDH|17133343181659719613</stp>
        <tr r="F270" s="1"/>
      </tp>
      <tp t="s">
        <v>#N/A N/A</v>
        <stp/>
        <stp>BDH|11291016243845389367</stp>
        <tr r="F129" s="1"/>
      </tp>
      <tp t="s">
        <v>#N/A N/A</v>
        <stp/>
        <stp>BDH|11243003419954657783</stp>
        <tr r="H145" s="1"/>
      </tp>
      <tp t="s">
        <v>#N/A N/A</v>
        <stp/>
        <stp>BDH|14886786346597002336</stp>
        <tr r="H148" s="1"/>
      </tp>
      <tp t="b">
        <v>0</v>
        <stp/>
        <stp>BDH|15450957980634470318</stp>
        <tr r="D21" s="1"/>
      </tp>
      <tp t="s">
        <v>#N/A N/A</v>
        <stp/>
        <stp>BDH|17720019873152722164</stp>
        <tr r="D156" s="1"/>
      </tp>
      <tp t="s">
        <v>#N/A N/A</v>
        <stp/>
        <stp>BDH|17619606691378639354</stp>
        <tr r="E62" s="1"/>
      </tp>
      <tp t="b">
        <v>0</v>
        <stp/>
        <stp>BDH|10562319538813020084</stp>
        <tr r="H27" s="1"/>
      </tp>
      <tp t="s">
        <v>#N/A N/A</v>
        <stp/>
        <stp>BDH|10408060083853710812</stp>
        <tr r="F213" s="1"/>
      </tp>
      <tp t="b">
        <v>0</v>
        <stp/>
        <stp>BDH|10651754053988549922</stp>
        <tr r="C53" s="1"/>
      </tp>
      <tp t="b">
        <v>0</v>
        <stp/>
        <stp>BDH|11863679608397343338</stp>
        <tr r="E21" s="1"/>
      </tp>
      <tp t="s">
        <v>#N/A N/A</v>
        <stp/>
        <stp>BDH|18387940373401289413</stp>
        <tr r="G83" s="1"/>
      </tp>
      <tp t="s">
        <v>#N/A N/A</v>
        <stp/>
        <stp>BDH|13646207142613303501</stp>
        <tr r="C91" s="1"/>
      </tp>
      <tp t="s">
        <v>#N/A N/A</v>
        <stp/>
        <stp>BDH|17792050730807044045</stp>
        <tr r="G149" s="1"/>
      </tp>
      <tp t="s">
        <v>#N/A N/A</v>
        <stp/>
        <stp>BDH|13150132405465368423</stp>
        <tr r="F195" s="1"/>
      </tp>
      <tp t="s">
        <v>#N/A N/A</v>
        <stp/>
        <stp>BDH|10957109373952390704</stp>
        <tr r="H110" s="1"/>
      </tp>
      <tp t="s">
        <v>#N/A N/A</v>
        <stp/>
        <stp>BDH|16954282279312899293</stp>
        <tr r="F197" s="1"/>
      </tp>
      <tp t="s">
        <v>#N/A N/A</v>
        <stp/>
        <stp>BDH|12199983467937499934</stp>
        <tr r="H80" s="1"/>
      </tp>
      <tp t="s">
        <v>#N/A N/A</v>
        <stp/>
        <stp>BDH|17423023618625347040</stp>
        <tr r="G143" s="1"/>
      </tp>
      <tp t="s">
        <v>#N/A N/A</v>
        <stp/>
        <stp>BDH|10168411516075911367</stp>
        <tr r="C115" s="1"/>
      </tp>
      <tp t="s">
        <v>#N/A N/A</v>
        <stp/>
        <stp>BDH|15673954638368048424</stp>
        <tr r="C269" s="1"/>
      </tp>
      <tp t="b">
        <v>0</v>
        <stp/>
        <stp>BDH|17776383247190874389</stp>
        <tr r="H43" s="1"/>
      </tp>
      <tp t="s">
        <v>#N/A N/A</v>
        <stp/>
        <stp>BDH|13086926939528777247</stp>
        <tr r="G136" s="1"/>
      </tp>
      <tp t="s">
        <v>#N/A N/A</v>
        <stp/>
        <stp>BDH|17695384670285354550</stp>
        <tr r="C80" s="1"/>
      </tp>
      <tp t="s">
        <v>#N/A N/A</v>
        <stp/>
        <stp>BDH|13938379572417700337</stp>
        <tr r="E220" s="1"/>
      </tp>
      <tp t="s">
        <v>#N/A N/A</v>
        <stp/>
        <stp>BDH|10253503838944469164</stp>
        <tr r="D124" s="1"/>
      </tp>
      <tp t="s">
        <v>#N/A N/A</v>
        <stp/>
        <stp>BDH|11808124192228647260</stp>
        <tr r="C203" s="1"/>
      </tp>
      <tp t="s">
        <v>#N/A N/A</v>
        <stp/>
        <stp>BDH|12611695325892253733</stp>
        <tr r="D118" s="1"/>
      </tp>
      <tp t="s">
        <v>#N/A N/A</v>
        <stp/>
        <stp>BDH|17939294808056459070</stp>
        <tr r="H67" s="1"/>
      </tp>
      <tp t="s">
        <v>#N/A N/A</v>
        <stp/>
        <stp>BDH|16192092390428649440</stp>
        <tr r="H261" s="1"/>
      </tp>
      <tp t="s">
        <v>#N/A N/A</v>
        <stp/>
        <stp>BDH|10490531011913572499</stp>
        <tr r="G112" s="1"/>
      </tp>
      <tp t="s">
        <v>#N/A N/A</v>
        <stp/>
        <stp>BDH|17445673038281936081</stp>
        <tr r="G219" s="1"/>
      </tp>
      <tp t="s">
        <v>#N/A N/A</v>
        <stp/>
        <stp>BDH|17858196877334848641</stp>
        <tr r="E122" s="1"/>
      </tp>
      <tp t="s">
        <v>#N/A N/A</v>
        <stp/>
        <stp>BDH|11193180127009347804</stp>
        <tr r="G249" s="1"/>
      </tp>
      <tp t="s">
        <v>#N/A N/A</v>
        <stp/>
        <stp>BDH|10627285321802731154</stp>
        <tr r="E189" s="1"/>
      </tp>
      <tp t="s">
        <v>#N/A N/A</v>
        <stp/>
        <stp>BDH|17710882893467503248</stp>
        <tr r="G158" s="1"/>
      </tp>
      <tp t="s">
        <v>#N/A N/A</v>
        <stp/>
        <stp>BDH|11949571326221652430</stp>
        <tr r="F143" s="1"/>
      </tp>
      <tp t="s">
        <v>#N/A N/A</v>
        <stp/>
        <stp>BDH|15430405813766824523</stp>
        <tr r="G197" s="1"/>
      </tp>
      <tp t="s">
        <v>#N/A N/A</v>
        <stp/>
        <stp>BDH|12229540859199776852</stp>
        <tr r="H179" s="1"/>
      </tp>
      <tp t="s">
        <v>#N/A N/A</v>
        <stp/>
        <stp>BDH|16288078538834643277</stp>
        <tr r="G69" s="1"/>
      </tp>
      <tp t="s">
        <v>#N/A N/A</v>
        <stp/>
        <stp>BDH|15719922458542982885</stp>
        <tr r="C112" s="1"/>
      </tp>
      <tp t="s">
        <v>#N/A N/A</v>
        <stp/>
        <stp>BDH|11436857390667454495</stp>
        <tr r="E228" s="1"/>
      </tp>
      <tp t="b">
        <v>0</v>
        <stp/>
        <stp>BDH|10022783005174331024</stp>
        <tr r="D13" s="1"/>
      </tp>
      <tp t="b">
        <v>0</v>
        <stp/>
        <stp>BDH|11581761804021069485</stp>
        <tr r="D48" s="1"/>
      </tp>
      <tp t="s">
        <v>#N/A N/A</v>
        <stp/>
        <stp>BDH|17516389429121976423</stp>
        <tr r="C181" s="1"/>
      </tp>
      <tp t="b">
        <v>0</v>
        <stp/>
        <stp>BDH|14261752927302646091</stp>
        <tr r="D43" s="1"/>
      </tp>
      <tp t="s">
        <v>#N/A N/A</v>
        <stp/>
        <stp>BDH|13091635939734420103</stp>
        <tr r="D127" s="1"/>
      </tp>
      <tp t="b">
        <v>0</v>
        <stp/>
        <stp>BDH|14197691424333727053</stp>
        <tr r="F40" s="1"/>
      </tp>
      <tp t="s">
        <v>#N/A N/A</v>
        <stp/>
        <stp>BDH|11951168277913372759</stp>
        <tr r="C209" s="1"/>
      </tp>
      <tp t="s">
        <v>#N/A N/A</v>
        <stp/>
        <stp>BDH|13792046984488352352</stp>
        <tr r="D129" s="1"/>
      </tp>
      <tp t="b">
        <v>0</v>
        <stp/>
        <stp>BDH|17191612612110106026</stp>
        <tr r="D44" s="1"/>
      </tp>
      <tp t="s">
        <v>#N/A N/A</v>
        <stp/>
        <stp>BDH|10729579641203891282</stp>
        <tr r="H156" s="1"/>
      </tp>
      <tp t="s">
        <v>#N/A N/A</v>
        <stp/>
        <stp>BDH|13181702003061211519</stp>
        <tr r="G128" s="1"/>
      </tp>
      <tp t="s">
        <v>#N/A N/A</v>
        <stp/>
        <stp>BDH|15388135911917547256</stp>
        <tr r="C99" s="1"/>
      </tp>
      <tp t="s">
        <v>#N/A N/A</v>
        <stp/>
        <stp>BDH|11724341874127350246</stp>
        <tr r="C188" s="1"/>
      </tp>
      <tp t="b">
        <v>0</v>
        <stp/>
        <stp>BDH|14437625257071205630</stp>
        <tr r="C43" s="1"/>
      </tp>
      <tp t="s">
        <v>#N/A N/A</v>
        <stp/>
        <stp>BDH|11651526008113966762</stp>
        <tr r="E223" s="1"/>
      </tp>
      <tp t="s">
        <v>#N/A N/A</v>
        <stp/>
        <stp>BDH|18334305516989752305</stp>
        <tr r="D136" s="1"/>
      </tp>
      <tp t="s">
        <v>#N/A N/A</v>
        <stp/>
        <stp>BDH|14045303050767333515</stp>
        <tr r="C221" s="1"/>
      </tp>
      <tp t="b">
        <v>0</v>
        <stp/>
        <stp>BDH|14130811794594770115</stp>
        <tr r="G34" s="1"/>
      </tp>
      <tp t="b">
        <v>0</v>
        <stp/>
        <stp>BDH|17336669493808405078</stp>
        <tr r="C5" s="1"/>
      </tp>
      <tp t="s">
        <v>#N/A N/A</v>
        <stp/>
        <stp>BDH|18287761163659370014</stp>
        <tr r="H178" s="1"/>
      </tp>
      <tp t="s">
        <v>#N/A N/A</v>
        <stp/>
        <stp>BDH|14723265217305077230</stp>
        <tr r="F120" s="1"/>
      </tp>
      <tp t="s">
        <v>#N/A N/A</v>
        <stp/>
        <stp>BDH|12599393308531587046</stp>
        <tr r="E221" s="1"/>
      </tp>
      <tp t="s">
        <v>#N/A N/A</v>
        <stp/>
        <stp>BDH|14571031130703439473</stp>
        <tr r="F185" s="1"/>
      </tp>
      <tp t="s">
        <v>#N/A N/A</v>
        <stp/>
        <stp>BDH|13729410375172378253</stp>
        <tr r="D69" s="1"/>
      </tp>
      <tp t="s">
        <v>#N/A N/A</v>
        <stp/>
        <stp>BDH|12444500625815621028</stp>
        <tr r="D95" s="1"/>
      </tp>
      <tp t="s">
        <v>#N/A N/A</v>
        <stp/>
        <stp>BDH|17118057680998347709</stp>
        <tr r="E234" s="1"/>
      </tp>
      <tp t="s">
        <v>#N/A N/A</v>
        <stp/>
        <stp>BDH|16812499765611543571</stp>
        <tr r="H177" s="1"/>
      </tp>
      <tp t="s">
        <v>#N/A N/A</v>
        <stp/>
        <stp>BDH|16349232926671699760</stp>
        <tr r="H118" s="1"/>
      </tp>
      <tp t="s">
        <v>#N/A N/A</v>
        <stp/>
        <stp>BDH|10010912942969307464</stp>
        <tr r="D233" s="1"/>
      </tp>
      <tp t="s">
        <v>#N/A N/A</v>
        <stp/>
        <stp>BDH|11886227466097370296</stp>
        <tr r="G199" s="1"/>
      </tp>
      <tp t="s">
        <v>#N/A N/A</v>
        <stp/>
        <stp>BDH|17718160453112299165</stp>
        <tr r="F160" s="1"/>
      </tp>
      <tp t="s">
        <v>#N/A N/A</v>
        <stp/>
        <stp>BDH|15750799215596480592</stp>
        <tr r="D105" s="1"/>
      </tp>
      <tp t="s">
        <v>#N/A N/A</v>
        <stp/>
        <stp>BDH|16874876217016970975</stp>
        <tr r="E158" s="1"/>
      </tp>
      <tp t="s">
        <v>#N/A N/A</v>
        <stp/>
        <stp>BDH|18331804309107927755</stp>
        <tr r="E123" s="1"/>
      </tp>
      <tp t="s">
        <v>#N/A N/A</v>
        <stp/>
        <stp>BDH|15283583280480426888</stp>
        <tr r="F98" s="1"/>
      </tp>
      <tp t="s">
        <v>#N/A N/A</v>
        <stp/>
        <stp>BDH|18332548142729922056</stp>
        <tr r="C68" s="1"/>
      </tp>
      <tp t="s">
        <v>#N/A N/A</v>
        <stp/>
        <stp>BDH|12576015139269789834</stp>
        <tr r="G164" s="1"/>
      </tp>
      <tp t="b">
        <v>0</v>
        <stp/>
        <stp>BDH|12933569570824766418</stp>
        <tr r="F25" s="1"/>
      </tp>
      <tp t="s">
        <v>#N/A N/A</v>
        <stp/>
        <stp>BDH|10684300309153326046</stp>
        <tr r="C74" s="1"/>
      </tp>
      <tp t="s">
        <v>#N/A N/A</v>
        <stp/>
        <stp>BDH|11908271851741449735</stp>
        <tr r="F115" s="1"/>
      </tp>
      <tp t="b">
        <v>0</v>
        <stp/>
        <stp>BDH|11839503248093052382</stp>
        <tr r="F6" s="1"/>
      </tp>
      <tp t="b">
        <v>0</v>
        <stp/>
        <stp>BDH|13862768202170420436</stp>
        <tr r="H39" s="1"/>
      </tp>
      <tp t="s">
        <v>#N/A N/A</v>
        <stp/>
        <stp>BDH|10692625573998998957</stp>
        <tr r="H193" s="1"/>
      </tp>
      <tp t="b">
        <v>0</v>
        <stp/>
        <stp>BDH|11807732415893232473</stp>
        <tr r="D31" s="1"/>
      </tp>
      <tp t="s">
        <v>#N/A N/A</v>
        <stp/>
        <stp>BDH|11552189755474382113</stp>
        <tr r="D250" s="1"/>
      </tp>
      <tp t="s">
        <v>#N/A N/A</v>
        <stp/>
        <stp>BDH|17210733107841239198</stp>
        <tr r="D249" s="1"/>
      </tp>
      <tp t="s">
        <v>#N/A N/A</v>
        <stp/>
        <stp>BDH|10060236400681646383</stp>
        <tr r="H221" s="1"/>
      </tp>
      <tp t="s">
        <v>#N/A N/A</v>
        <stp/>
        <stp>BDH|10821278215585036661</stp>
        <tr r="E266" s="1"/>
      </tp>
      <tp t="b">
        <v>0</v>
        <stp/>
        <stp>BDH|14356668938237461661</stp>
        <tr r="D32" s="1"/>
      </tp>
      <tp t="s">
        <v>#N/A N/A</v>
        <stp/>
        <stp>BDH|10440088973754739377</stp>
        <tr r="G126" s="1"/>
      </tp>
      <tp t="s">
        <v>#N/A N/A</v>
        <stp/>
        <stp>BDH|16598720242266968332</stp>
        <tr r="C124" s="1"/>
      </tp>
      <tp t="s">
        <v>#N/A N/A</v>
        <stp/>
        <stp>BDH|14778197651803347330</stp>
        <tr r="D186" s="1"/>
      </tp>
      <tp t="s">
        <v>#N/A N/A</v>
        <stp/>
        <stp>BDH|16811161690349248733</stp>
        <tr r="H271" s="1"/>
      </tp>
      <tp t="s">
        <v>#N/A N/A</v>
        <stp/>
        <stp>BDH|13618963189644681615</stp>
        <tr r="H87" s="1"/>
      </tp>
      <tp t="s">
        <v>#N/A N/A</v>
        <stp/>
        <stp>BDH|12475584646327105458</stp>
        <tr r="E192" s="1"/>
      </tp>
      <tp t="s">
        <v>#N/A N/A</v>
        <stp/>
        <stp>BDH|15286470721006273580</stp>
        <tr r="E250" s="1"/>
      </tp>
      <tp t="s">
        <v>#N/A N/A</v>
        <stp/>
        <stp>BDH|10268986560607449801</stp>
        <tr r="D236" s="1"/>
      </tp>
      <tp t="s">
        <v>#N/A N/A</v>
        <stp/>
        <stp>BDH|13458091011746103437</stp>
        <tr r="G79" s="1"/>
      </tp>
      <tp t="s">
        <v>#N/A N/A</v>
        <stp/>
        <stp>BDH|11493750736723658700</stp>
        <tr r="F130" s="1"/>
      </tp>
      <tp t="s">
        <v>#N/A N/A</v>
        <stp/>
        <stp>BDH|14574243610487447149</stp>
        <tr r="C62" s="1"/>
      </tp>
      <tp t="s">
        <v>#N/A N/A</v>
        <stp/>
        <stp>BDH|12441335836351735276</stp>
        <tr r="G232" s="1"/>
      </tp>
      <tp t="s">
        <v>#N/A N/A</v>
        <stp/>
        <stp>BDH|11839693334335094051</stp>
        <tr r="G70" s="1"/>
      </tp>
      <tp t="b">
        <v>0</v>
        <stp/>
        <stp>BDH|17197102030314958086</stp>
        <tr r="C52" s="1"/>
      </tp>
      <tp t="s">
        <v>#N/A N/A</v>
        <stp/>
        <stp>BDH|18321359826549571150</stp>
        <tr r="D188" s="1"/>
      </tp>
      <tp t="s">
        <v>#N/A N/A</v>
        <stp/>
        <stp>BDH|18402561286316393279</stp>
        <tr r="C155" s="1"/>
      </tp>
      <tp t="s">
        <v>#N/A N/A</v>
        <stp/>
        <stp>BDH|16024100836452775716</stp>
        <tr r="E198" s="1"/>
      </tp>
      <tp t="s">
        <v>#N/A N/A</v>
        <stp/>
        <stp>BDH|17186501595558231256</stp>
        <tr r="D108" s="1"/>
      </tp>
      <tp t="b">
        <v>0</v>
        <stp/>
        <stp>BDH|14766274763336554756</stp>
        <tr r="F21" s="1"/>
      </tp>
      <tp t="s">
        <v>#N/A N/A</v>
        <stp/>
        <stp>BDH|13129012208974387686</stp>
        <tr r="C220" s="1"/>
      </tp>
      <tp t="b">
        <v>0</v>
        <stp/>
        <stp>BDH|13063971290927199553</stp>
        <tr r="F32" s="1"/>
      </tp>
      <tp t="b">
        <v>0</v>
        <stp/>
        <stp>BDH|12040248950531778514</stp>
        <tr r="D6" s="1"/>
      </tp>
      <tp t="s">
        <v>#N/A N/A</v>
        <stp/>
        <stp>BDH|13111620670635378628</stp>
        <tr r="H107" s="1"/>
      </tp>
      <tp t="s">
        <v>#N/A N/A</v>
        <stp/>
        <stp>BDH|12046551217550952791</stp>
        <tr r="G205" s="1"/>
      </tp>
      <tp t="s">
        <v>#N/A N/A</v>
        <stp/>
        <stp>BDH|16717403394702090874</stp>
        <tr r="G118" s="1"/>
      </tp>
      <tp t="s">
        <v>#N/A N/A</v>
        <stp/>
        <stp>BDH|16665048011396762005</stp>
        <tr r="H141" s="1"/>
      </tp>
      <tp t="s">
        <v>#N/A N/A</v>
        <stp/>
        <stp>BDH|16217747906188784838</stp>
        <tr r="C223" s="1"/>
      </tp>
      <tp t="s">
        <v>#N/A N/A</v>
        <stp/>
        <stp>BDH|13298773702324771173</stp>
        <tr r="H131" s="1"/>
      </tp>
      <tp t="s">
        <v>#N/A N/A</v>
        <stp/>
        <stp>BDH|15053448405130483026</stp>
        <tr r="G224" s="1"/>
      </tp>
      <tp t="b">
        <v>0</v>
        <stp/>
        <stp>BDH|14061329187099208710</stp>
        <tr r="H14" s="1"/>
      </tp>
      <tp t="s">
        <v>#N/A N/A</v>
        <stp/>
        <stp>BDH|13249172065466463329</stp>
        <tr r="H86" s="1"/>
      </tp>
      <tp t="s">
        <v>#N/A N/A</v>
        <stp/>
        <stp>BDH|10405394594832871977</stp>
        <tr r="G153" s="1"/>
      </tp>
      <tp t="s">
        <v>#N/A N/A</v>
        <stp/>
        <stp>BDH|10841687976265858587</stp>
        <tr r="C240" s="1"/>
      </tp>
      <tp t="s">
        <v>#N/A N/A</v>
        <stp/>
        <stp>BDH|11608337373557315333</stp>
        <tr r="C173" s="1"/>
      </tp>
      <tp t="s">
        <v>#N/A N/A</v>
        <stp/>
        <stp>BDH|18306340863694210807</stp>
        <tr r="E203" s="1"/>
      </tp>
      <tp t="s">
        <v>#N/A N/A</v>
        <stp/>
        <stp>BDH|11689485934764846348</stp>
        <tr r="E256" s="1"/>
      </tp>
      <tp t="b">
        <v>0</v>
        <stp/>
        <stp>BDH|16702840323418442525</stp>
        <tr r="F47" s="1"/>
      </tp>
      <tp t="s">
        <v>#N/A N/A</v>
        <stp/>
        <stp>BDH|17013078174145947426</stp>
        <tr r="G178" s="1"/>
      </tp>
      <tp t="s">
        <v>#N/A N/A</v>
        <stp/>
        <stp>BDH|12108036972913009786</stp>
        <tr r="F205" s="1"/>
      </tp>
      <tp t="b">
        <v>0</v>
        <stp/>
        <stp>BDH|12461088104980098307</stp>
        <tr r="F42" s="1"/>
      </tp>
      <tp t="s">
        <v>#N/A N/A</v>
        <stp/>
        <stp>BDH|15547699224474145413</stp>
        <tr r="G147" s="1"/>
      </tp>
      <tp t="s">
        <v>#N/A N/A</v>
        <stp/>
        <stp>BDH|10788227977626950203</stp>
        <tr r="C170" s="1"/>
      </tp>
      <tp t="s">
        <v>#N/A N/A</v>
        <stp/>
        <stp>BDH|16743666868432417564</stp>
        <tr r="H82" s="1"/>
      </tp>
      <tp t="s">
        <v>#N/A N/A</v>
        <stp/>
        <stp>BDH|18208195259579115486</stp>
        <tr r="C185" s="1"/>
      </tp>
      <tp t="s">
        <v>#N/A N/A</v>
        <stp/>
        <stp>BDH|13108277168152256477</stp>
        <tr r="H223" s="1"/>
      </tp>
      <tp t="b">
        <v>0</v>
        <stp/>
        <stp>BDH|16980207429716560181</stp>
        <tr r="C9" s="1"/>
      </tp>
      <tp t="s">
        <v>#N/A N/A</v>
        <stp/>
        <stp>BDH|17728138239443306730</stp>
        <tr r="G165" s="1"/>
      </tp>
      <tp t="s">
        <v>#N/A N/A</v>
        <stp/>
        <stp>BDH|15418593794299262160</stp>
        <tr r="H196" s="1"/>
      </tp>
      <tp t="s">
        <v>#N/A N/A</v>
        <stp/>
        <stp>BDH|14947346375177550619</stp>
        <tr r="C4" s="1"/>
      </tp>
      <tp t="s">
        <v>#N/A N/A</v>
        <stp/>
        <stp>BDH|16196098741381370269</stp>
        <tr r="H190" s="1"/>
      </tp>
      <tp t="b">
        <v>0</v>
        <stp/>
        <stp>BDH|10917168120995705778</stp>
        <tr r="G25" s="1"/>
      </tp>
      <tp t="s">
        <v>#N/A N/A</v>
        <stp/>
        <stp>BDH|12837244776064247270</stp>
        <tr r="D139" s="1"/>
      </tp>
      <tp t="s">
        <v>#N/A N/A</v>
        <stp/>
        <stp>BDH|15012663412587375481</stp>
        <tr r="G96" s="1"/>
      </tp>
      <tp t="s">
        <v>#N/A N/A</v>
        <stp/>
        <stp>BDH|14553391264147460735</stp>
        <tr r="G86" s="1"/>
      </tp>
      <tp t="s">
        <v>#N/A N/A</v>
        <stp/>
        <stp>BDH|12223488210107175155</stp>
        <tr r="G268" s="1"/>
      </tp>
      <tp t="s">
        <v>#N/A N/A</v>
        <stp/>
        <stp>BDH|17530680149870310499</stp>
        <tr r="F209" s="1"/>
      </tp>
      <tp t="b">
        <v>0</v>
        <stp/>
        <stp>BDH|14258487315552451254</stp>
        <tr r="H48" s="1"/>
      </tp>
      <tp t="s">
        <v>#N/A N/A</v>
        <stp/>
        <stp>BDH|16088631672510652162</stp>
        <tr r="C65" s="1"/>
      </tp>
      <tp t="s">
        <v>#N/A N/A</v>
        <stp/>
        <stp>BDH|11188639181661093825</stp>
        <tr r="D137" s="1"/>
      </tp>
      <tp t="s">
        <v>#N/A N/A</v>
        <stp/>
        <stp>BDH|16965355313871655381</stp>
        <tr r="G271" s="1"/>
      </tp>
      <tp t="s">
        <v>#N/A N/A</v>
        <stp/>
        <stp>BDH|17525961782481685162</stp>
        <tr r="D198" s="1"/>
      </tp>
      <tp t="s">
        <v>#N/A N/A</v>
        <stp/>
        <stp>BDH|10828642217979276898</stp>
        <tr r="C200" s="1"/>
      </tp>
      <tp t="s">
        <v>#N/A N/A</v>
        <stp/>
        <stp>BDH|11093019044450276375</stp>
        <tr r="C66" s="1"/>
      </tp>
      <tp t="s">
        <v>#N/A N/A</v>
        <stp/>
        <stp>BDH|17592009520203785014</stp>
        <tr r="C154" s="1"/>
      </tp>
      <tp t="s">
        <v>#N/A N/A</v>
        <stp/>
        <stp>BDH|11160672257440753458</stp>
        <tr r="E73" s="1"/>
      </tp>
      <tp t="s">
        <v>#N/A N/A</v>
        <stp/>
        <stp>BDH|15158475064002948389</stp>
        <tr r="G215" s="1"/>
      </tp>
      <tp t="s">
        <v>#N/A N/A</v>
        <stp/>
        <stp>BDH|13926128688494374835</stp>
        <tr r="H194" s="1"/>
      </tp>
      <tp t="s">
        <v>#N/A N/A</v>
        <stp/>
        <stp>BDH|11171064312430566636</stp>
        <tr r="E144" s="1"/>
      </tp>
      <tp t="b">
        <v>0</v>
        <stp/>
        <stp>BDH|14409311625121090253</stp>
        <tr r="F38" s="1"/>
      </tp>
      <tp t="s">
        <v>#N/A N/A</v>
        <stp/>
        <stp>BDH|10853702963112766596</stp>
        <tr r="H252" s="1"/>
      </tp>
      <tp t="s">
        <v>#N/A N/A</v>
        <stp/>
        <stp>BDH|17207823574296914884</stp>
        <tr r="C253" s="1"/>
      </tp>
      <tp t="s">
        <v>#N/A N/A</v>
        <stp/>
        <stp>BDH|14338423474607076605</stp>
        <tr r="G179" s="1"/>
      </tp>
      <tp t="s">
        <v>#N/A N/A</v>
        <stp/>
        <stp>BDH|13421633926178608938</stp>
        <tr r="D194" s="1"/>
      </tp>
      <tp t="b">
        <v>0</v>
        <stp/>
        <stp>BDH|13561045552183433331</stp>
        <tr r="E39" s="1"/>
      </tp>
      <tp t="b">
        <v>0</v>
        <stp/>
        <stp>BDH|16588713002807329017</stp>
        <tr r="E37" s="1"/>
      </tp>
      <tp t="s">
        <v>#N/A N/A</v>
        <stp/>
        <stp>BDH|11845327051350845171</stp>
        <tr r="C77" s="1"/>
      </tp>
      <tp t="s">
        <v>#N/A N/A</v>
        <stp/>
        <stp>BDH|14348658021921384709</stp>
        <tr r="G82" s="1"/>
      </tp>
      <tp t="b">
        <v>0</v>
        <stp/>
        <stp>BDH|14790114224715248476</stp>
        <tr r="F27" s="1"/>
      </tp>
      <tp t="s">
        <v>#N/A N/A</v>
        <stp/>
        <stp>BDH|11325358174496518501</stp>
        <tr r="F141" s="1"/>
      </tp>
      <tp t="s">
        <v>#N/A N/A</v>
        <stp/>
        <stp>BDH|16531281769232397617</stp>
        <tr r="C212" s="1"/>
      </tp>
      <tp t="s">
        <v>#N/A N/A</v>
        <stp/>
        <stp>BDH|14630007161766247230</stp>
        <tr r="F202" s="1"/>
      </tp>
      <tp t="b">
        <v>0</v>
        <stp/>
        <stp>BDH|10921849622469883511</stp>
        <tr r="E40" s="1"/>
      </tp>
      <tp t="s">
        <v>#N/A N/A</v>
        <stp/>
        <stp>BDH|10451491657631001639</stp>
        <tr r="E131" s="1"/>
      </tp>
      <tp t="s">
        <v>#N/A N/A</v>
        <stp/>
        <stp>BDH|17124488915843035752</stp>
        <tr r="G78" s="1"/>
      </tp>
      <tp t="s">
        <v>#N/A N/A</v>
        <stp/>
        <stp>BDH|13463110773062842171</stp>
        <tr r="C70" s="1"/>
      </tp>
      <tp t="b">
        <v>0</v>
        <stp/>
        <stp>BDH|11205494804241142277</stp>
        <tr r="C39" s="1"/>
      </tp>
      <tp t="b">
        <v>0</v>
        <stp/>
        <stp>BDH|12330629183272258884</stp>
        <tr r="G20" s="1"/>
      </tp>
      <tp t="s">
        <v>#N/A N/A</v>
        <stp/>
        <stp>BDH|13011695641760683762</stp>
        <tr r="C231" s="1"/>
      </tp>
      <tp t="s">
        <v>#N/A N/A</v>
        <stp/>
        <stp>BDH|16385882414080068973</stp>
        <tr r="H121" s="1"/>
      </tp>
      <tp t="s">
        <v>#N/A N/A</v>
        <stp/>
        <stp>BDH|11713004488216654917</stp>
        <tr r="C96" s="1"/>
      </tp>
      <tp t="b">
        <v>0</v>
        <stp/>
        <stp>BDH|10737648609229477955</stp>
        <tr r="H21" s="1"/>
      </tp>
      <tp t="b">
        <v>0</v>
        <stp/>
        <stp>BDH|12536337285356896904</stp>
        <tr r="C46" s="1"/>
      </tp>
      <tp t="s">
        <v>#N/A N/A</v>
        <stp/>
        <stp>BDH|12089270859656448513</stp>
        <tr r="E145" s="1"/>
      </tp>
      <tp t="s">
        <v>#N/A N/A</v>
        <stp/>
        <stp>BDH|10238616784921590998</stp>
        <tr r="C258" s="1"/>
      </tp>
      <tp t="b">
        <v>0</v>
        <stp/>
        <stp>BDH|11967747021687647510</stp>
        <tr r="F43" s="1"/>
      </tp>
      <tp t="s">
        <v>#N/A N/A</v>
        <stp/>
        <stp>BDH|15180996337660757924</stp>
        <tr r="E92" s="1"/>
      </tp>
      <tp t="s">
        <v>#N/A N/A</v>
        <stp/>
        <stp>BDH|11206001314934467280</stp>
        <tr r="C141" s="1"/>
      </tp>
      <tp t="s">
        <v>#N/A N/A</v>
        <stp/>
        <stp>BDH|15670868699487018550</stp>
        <tr r="C174" s="1"/>
      </tp>
      <tp t="s">
        <v>#N/A N/A</v>
        <stp/>
        <stp>BDH|18061963379196446670</stp>
        <tr r="D210" s="1"/>
      </tp>
      <tp t="b">
        <v>0</v>
        <stp/>
        <stp>BDH|11916443611425281714</stp>
        <tr r="H54" s="1"/>
      </tp>
      <tp t="s">
        <v>#N/A N/A</v>
        <stp/>
        <stp>BDH|10529075726762395684</stp>
        <tr r="C263" s="1"/>
      </tp>
      <tp t="s">
        <v>#N/A N/A</v>
        <stp/>
        <stp>BDH|10384026353874560781</stp>
        <tr r="H74" s="1"/>
      </tp>
      <tp t="s">
        <v>#N/A N/A</v>
        <stp/>
        <stp>BDH|12521987703709811493</stp>
        <tr r="E143" s="1"/>
      </tp>
      <tp t="s">
        <v>#N/A N/A</v>
        <stp/>
        <stp>BDH|13308065297989409598</stp>
        <tr r="C142" s="1"/>
      </tp>
      <tp t="s">
        <v>#N/A N/A</v>
        <stp/>
        <stp>BDH|13055257993479990715</stp>
        <tr r="H97" s="1"/>
      </tp>
      <tp t="s">
        <v>#N/A N/A</v>
        <stp/>
        <stp>BDH|16465546399959413539</stp>
        <tr r="E190" s="1"/>
      </tp>
      <tp t="s">
        <v>#N/A N/A</v>
        <stp/>
        <stp>BDH|18198710959649097570</stp>
        <tr r="E117" s="1"/>
      </tp>
      <tp t="b">
        <v>0</v>
        <stp/>
        <stp>BDH|16841272378070079595</stp>
        <tr r="E49" s="1"/>
      </tp>
      <tp t="s">
        <v>#N/A Requesting Data...3710375349</v>
        <stp/>
        <stp>BDP|18026139656523985858</stp>
        <tr r="D2" s="1"/>
      </tp>
      <tp t="s">
        <v>#N/A N/A</v>
        <stp/>
        <stp>BDH|10069465291573740918</stp>
        <tr r="E66" s="1"/>
      </tp>
      <tp t="b">
        <v>0</v>
        <stp/>
        <stp>BDH|15712716918693879778</stp>
        <tr r="F50" s="1"/>
      </tp>
      <tp t="s">
        <v>#N/A N/A</v>
        <stp/>
        <stp>BDH|10405720912847415614</stp>
        <tr r="H103" s="1"/>
      </tp>
      <tp t="s">
        <v>#N/A N/A</v>
        <stp/>
        <stp>BDH|15511549600825938294</stp>
        <tr r="H210" s="1"/>
      </tp>
      <tp t="s">
        <v>#N/A N/A</v>
        <stp/>
        <stp>BDH|17522261627956367668</stp>
        <tr r="C262" s="1"/>
      </tp>
      <tp t="s">
        <v>#N/A N/A</v>
        <stp/>
        <stp>BDH|17581971297841292178</stp>
        <tr r="G189" s="1"/>
      </tp>
      <tp t="s">
        <v>#N/A N/A</v>
        <stp/>
        <stp>BDH|14635087040474872367</stp>
        <tr r="F237" s="1"/>
      </tp>
      <tp t="s">
        <v>#N/A N/A</v>
        <stp/>
        <stp>BDH|16359441758140795089</stp>
        <tr r="F254" s="1"/>
      </tp>
      <tp t="s">
        <v>#N/A N/A</v>
        <stp/>
        <stp>BDH|10771166240123214135</stp>
        <tr r="D222" s="1"/>
      </tp>
      <tp t="b">
        <v>0</v>
        <stp/>
        <stp>BDH|16607201304183720061</stp>
        <tr r="G27" s="1"/>
      </tp>
      <tp t="s">
        <v>#N/A N/A</v>
        <stp/>
        <stp>BDH|15918230044543857752</stp>
        <tr r="E267" s="1"/>
      </tp>
      <tp t="s">
        <v>#N/A N/A</v>
        <stp/>
        <stp>BDH|10395135681007094927</stp>
        <tr r="F162" s="1"/>
      </tp>
      <tp t="s">
        <v>#N/A N/A</v>
        <stp/>
        <stp>BDH|13955807419139761447</stp>
        <tr r="H4" s="1"/>
      </tp>
      <tp t="s">
        <v>#N/A N/A</v>
        <stp/>
        <stp>BDH|11627426021614233445</stp>
        <tr r="C242" s="1"/>
      </tp>
      <tp t="s">
        <v>#N/A N/A</v>
        <stp/>
        <stp>BDH|14694422401041306644</stp>
        <tr r="G133" s="1"/>
      </tp>
      <tp t="b">
        <v>0</v>
        <stp/>
        <stp>BDH|17204142357910389401</stp>
        <tr r="D25" s="1"/>
      </tp>
      <tp t="s">
        <v>#N/A N/A</v>
        <stp/>
        <stp>BDH|15763840024080460810</stp>
        <tr r="G273" s="1"/>
      </tp>
      <tp t="s">
        <v>#N/A N/A</v>
        <stp/>
        <stp>BDH|16140579945616179674</stp>
        <tr r="C93" s="1"/>
      </tp>
      <tp t="s">
        <v>#N/A N/A</v>
        <stp/>
        <stp>BDH|15332650771173020024</stp>
        <tr r="H123" s="1"/>
      </tp>
      <tp t="s">
        <v>#N/A N/A</v>
        <stp/>
        <stp>BDH|16574778376489272825</stp>
        <tr r="G130" s="1"/>
      </tp>
      <tp t="s">
        <v>#N/A N/A</v>
        <stp/>
        <stp>BDH|10382338259864969547</stp>
        <tr r="G131" s="1"/>
      </tp>
      <tp t="s">
        <v>#N/A N/A</v>
        <stp/>
        <stp>BDH|10885707317327950626</stp>
        <tr r="H112" s="1"/>
      </tp>
      <tp t="b">
        <v>0</v>
        <stp/>
        <stp>BDH|10896851891167828106</stp>
        <tr r="E23" s="1"/>
      </tp>
      <tp t="s">
        <v>#N/A N/A</v>
        <stp/>
        <stp>BDH|16257322756194241302</stp>
        <tr r="C252" s="1"/>
      </tp>
      <tp t="s">
        <v>#N/A N/A</v>
        <stp/>
        <stp>BDH|15966119890863853942</stp>
        <tr r="E270" s="1"/>
      </tp>
      <tp t="s">
        <v>#N/A N/A</v>
        <stp/>
        <stp>BDH|11558485039459163817</stp>
        <tr r="H256" s="1"/>
      </tp>
      <tp t="b">
        <v>0</v>
        <stp/>
        <stp>BDH|11099041658336941526</stp>
        <tr r="D20" s="1"/>
      </tp>
      <tp t="b">
        <v>0</v>
        <stp/>
        <stp>BDH|10635808013628320612</stp>
        <tr r="F56" s="1"/>
      </tp>
      <tp t="b">
        <v>0</v>
        <stp/>
        <stp>BDH|12114692082072832957</stp>
        <tr r="F29" s="1"/>
      </tp>
      <tp t="b">
        <v>0</v>
        <stp/>
        <stp>BDH|15251172942127822080</stp>
        <tr r="G21" s="1"/>
      </tp>
      <tp t="b">
        <v>0</v>
        <stp/>
        <stp>BDH|17067167931844471659</stp>
        <tr r="E51" s="1"/>
      </tp>
      <tp t="s">
        <v>#N/A N/A</v>
        <stp/>
        <stp>BDH|16615973492145331465</stp>
        <tr r="C104" s="1"/>
      </tp>
      <tp t="s">
        <v>#N/A N/A</v>
        <stp/>
        <stp>BDH|14576537465666417612</stp>
        <tr r="F118" s="1"/>
      </tp>
      <tp t="s">
        <v>#N/A N/A</v>
        <stp/>
        <stp>BDH|18326876362354682594</stp>
        <tr r="G146" s="1"/>
      </tp>
      <tp t="s">
        <v>#N/A N/A</v>
        <stp/>
        <stp>BDH|13363047847326887613</stp>
        <tr r="H88" s="1"/>
      </tp>
      <tp t="s">
        <v>#N/A N/A</v>
        <stp/>
        <stp>BDH|12382423313011202192</stp>
        <tr r="G267" s="1"/>
      </tp>
      <tp t="b">
        <v>0</v>
        <stp/>
        <stp>BDH|16405690957195552769</stp>
        <tr r="H23" s="1"/>
      </tp>
      <tp t="s">
        <v>#N/A N/A</v>
        <stp/>
        <stp>BDH|16075467786949930407</stp>
        <tr r="C85" s="1"/>
      </tp>
      <tp t="s">
        <v>#N/A N/A</v>
        <stp/>
        <stp>BDH|14378119658724641351</stp>
        <tr r="C71" s="1"/>
      </tp>
      <tp t="s">
        <v>#N/A N/A</v>
        <stp/>
        <stp>BDH|11818897375730926940</stp>
        <tr r="D132" s="1"/>
      </tp>
      <tp t="s">
        <v>#N/A N/A</v>
        <stp/>
        <stp>BDH|17274783302526178119</stp>
        <tr r="C121" s="1"/>
      </tp>
      <tp t="s">
        <v>#N/A N/A</v>
        <stp/>
        <stp>BDH|14581198043552228458</stp>
        <tr r="G193" s="1"/>
      </tp>
      <tp t="b">
        <v>0</v>
        <stp/>
        <stp>BDH|10156325739996475160</stp>
        <tr r="C40" s="1"/>
      </tp>
      <tp t="s">
        <v>#N/A N/A</v>
        <stp/>
        <stp>BDH|15313422179269530851</stp>
        <tr r="E194" s="1"/>
      </tp>
      <tp t="s">
        <v>#N/A N/A</v>
        <stp/>
        <stp>BDH|16961585401644826005</stp>
        <tr r="E111" s="1"/>
      </tp>
      <tp t="b">
        <v>0</v>
        <stp/>
        <stp>BDH|15130669317185260093</stp>
        <tr r="F48" s="1"/>
      </tp>
      <tp t="s">
        <v>#N/A N/A</v>
        <stp/>
        <stp>BDH|16200852239982409815</stp>
        <tr r="F61" s="1"/>
      </tp>
      <tp t="s">
        <v>#N/A N/A</v>
        <stp/>
        <stp>BDH|11699519442190708792</stp>
        <tr r="G105" s="1"/>
      </tp>
      <tp t="b">
        <v>0</v>
        <stp/>
        <stp>BDH|17872914563498051711</stp>
        <tr r="D51" s="1"/>
      </tp>
      <tp t="s">
        <v>#N/A N/A</v>
        <stp/>
        <stp>BDH|15727325954116843227</stp>
        <tr r="D214" s="1"/>
      </tp>
      <tp t="b">
        <v>0</v>
        <stp/>
        <stp>BDH|10633592818313593080</stp>
        <tr r="F26" s="1"/>
      </tp>
      <tp t="s">
        <v>#N/A N/A</v>
        <stp/>
        <stp>BDH|12769702920276898650</stp>
        <tr r="G180" s="1"/>
      </tp>
      <tp t="s">
        <v>#N/A N/A</v>
        <stp/>
        <stp>BDH|11605796785371333831</stp>
        <tr r="H192" s="1"/>
      </tp>
      <tp t="s">
        <v>#N/A N/A</v>
        <stp/>
        <stp>BDH|15522930286227818424</stp>
        <tr r="F272" s="1"/>
      </tp>
      <tp t="s">
        <v>#N/A N/A</v>
        <stp/>
        <stp>BDH|13493228422656715293</stp>
        <tr r="G94" s="1"/>
      </tp>
      <tp t="s">
        <v>#N/A N/A</v>
        <stp/>
        <stp>BDH|15980073364836690213</stp>
        <tr r="C117" s="1"/>
      </tp>
      <tp t="b">
        <v>0</v>
        <stp/>
        <stp>BDH|14469722235821892668</stp>
        <tr r="E14" s="1"/>
      </tp>
      <tp t="s">
        <v>#N/A N/A</v>
        <stp/>
        <stp>BDH|18322575226450709883</stp>
        <tr r="F215" s="1"/>
      </tp>
      <tp t="s">
        <v>#N/A N/A</v>
        <stp/>
        <stp>BDH|10006776047897871345</stp>
        <tr r="H63" s="1"/>
      </tp>
      <tp t="s">
        <v>#N/A N/A</v>
        <stp/>
        <stp>BDH|18041036640089908259</stp>
        <tr r="E184" s="1"/>
      </tp>
      <tp t="s">
        <v>#N/A N/A</v>
        <stp/>
        <stp>BDH|14524368611104488594</stp>
        <tr r="D4" s="1"/>
      </tp>
      <tp t="s">
        <v>#N/A N/A</v>
        <stp/>
        <stp>BDH|14976081898483253943</stp>
        <tr r="F114" s="1"/>
      </tp>
      <tp t="s">
        <v>#N/A N/A</v>
        <stp/>
        <stp>BDH|12681811130629139784</stp>
        <tr r="D176" s="1"/>
      </tp>
      <tp t="s">
        <v>#N/A N/A</v>
        <stp/>
        <stp>BDH|13273142868005784673</stp>
        <tr r="D181" s="1"/>
      </tp>
      <tp t="s">
        <v>#N/A N/A</v>
        <stp/>
        <stp>BDH|16821408197585884996</stp>
        <tr r="E61" s="1"/>
      </tp>
      <tp t="s">
        <v>#N/A N/A</v>
        <stp/>
        <stp>BDH|16058479861346978518</stp>
        <tr r="E209" s="1"/>
      </tp>
      <tp t="s">
        <v>#N/A N/A</v>
        <stp/>
        <stp>BDH|12828008580656871811</stp>
        <tr r="F83" s="1"/>
      </tp>
      <tp t="s">
        <v>#N/A N/A</v>
        <stp/>
        <stp>BDH|15111465266220734378</stp>
        <tr r="D243" s="1"/>
      </tp>
      <tp t="s">
        <v>#N/A N/A</v>
        <stp/>
        <stp>BDH|12147967580755568236</stp>
        <tr r="C237" s="1"/>
      </tp>
      <tp t="s">
        <v>#N/A N/A</v>
        <stp/>
        <stp>BDH|18263204768270206886</stp>
        <tr r="D215" s="1"/>
      </tp>
      <tp t="s">
        <v>#N/A N/A</v>
        <stp/>
        <stp>BDH|18005314692237613151</stp>
        <tr r="F134" s="1"/>
      </tp>
      <tp t="s">
        <v>#N/A N/A</v>
        <stp/>
        <stp>BDH|12847505375852637687</stp>
        <tr r="H99" s="1"/>
      </tp>
      <tp t="s">
        <v>#N/A N/A</v>
        <stp/>
        <stp>BDH|12712900583315631201</stp>
        <tr r="H258" s="1"/>
      </tp>
      <tp t="s">
        <v>#N/A N/A</v>
        <stp/>
        <stp>BDH|13428857343143201851</stp>
        <tr r="G228" s="1"/>
      </tp>
      <tp t="s">
        <v>#N/A N/A</v>
        <stp/>
        <stp>BDH|13573312330877201038</stp>
        <tr r="H161" s="1"/>
      </tp>
      <tp t="s">
        <v>#N/A N/A</v>
        <stp/>
        <stp>BDH|13773320721867341135</stp>
        <tr r="C236" s="1"/>
      </tp>
      <tp t="b">
        <v>0</v>
        <stp/>
        <stp>BDH|17745376904976954692</stp>
        <tr r="C41" s="1"/>
      </tp>
      <tp t="s">
        <v>#N/A N/A</v>
        <stp/>
        <stp>BDH|12594644323730333255</stp>
        <tr r="G262" s="1"/>
      </tp>
      <tp t="b">
        <v>0</v>
        <stp/>
        <stp>BDH|14581847192229051879</stp>
        <tr r="E59" s="1"/>
      </tp>
      <tp t="b">
        <v>0</v>
        <stp/>
        <stp>BDH|14429263958961945679</stp>
        <tr r="H22" s="1"/>
      </tp>
      <tp t="s">
        <v>#N/A N/A</v>
        <stp/>
        <stp>BDH|16472167784693791865</stp>
        <tr r="G223" s="1"/>
      </tp>
      <tp t="s">
        <v>#N/A N/A</v>
        <stp/>
        <stp>BDH|10195467061901290736</stp>
        <tr r="F225" s="1"/>
      </tp>
      <tp t="b">
        <v>0</v>
        <stp/>
        <stp>BDH|15833239889469288279</stp>
        <tr r="E13" s="1"/>
      </tp>
      <tp t="b">
        <v>0</v>
        <stp/>
        <stp>BDH|10247201765820928092</stp>
        <tr r="G37" s="1"/>
      </tp>
      <tp t="b">
        <v>0</v>
        <stp/>
        <stp>BDH|11923211335942321694</stp>
        <tr r="C11" s="1"/>
      </tp>
      <tp t="s">
        <v>#N/A N/A</v>
        <stp/>
        <stp>BDH|11388038220675429232</stp>
        <tr r="H187" s="1"/>
      </tp>
      <tp t="b">
        <v>0</v>
        <stp/>
        <stp>BDH|16393143707944563723</stp>
        <tr r="D38" s="1"/>
      </tp>
      <tp t="s">
        <v>#N/A N/A</v>
        <stp/>
        <stp>BDH|15697403319361048589</stp>
        <tr r="G104" s="1"/>
      </tp>
      <tp t="s">
        <v>#N/A N/A</v>
        <stp/>
        <stp>BDH|16713747155481897180</stp>
        <tr r="G190" s="1"/>
      </tp>
      <tp t="b">
        <v>0</v>
        <stp/>
        <stp>BDH|18348742031789421141</stp>
        <tr r="H51" s="1"/>
      </tp>
      <tp t="s">
        <v>#N/A N/A</v>
        <stp/>
        <stp>BDH|11485587775405060201</stp>
        <tr r="F73" s="1"/>
      </tp>
      <tp t="s">
        <v>#N/A N/A</v>
        <stp/>
        <stp>BDH|14921003057021416432</stp>
        <tr r="C128" s="1"/>
      </tp>
      <tp t="s">
        <v>#N/A N/A</v>
        <stp/>
        <stp>BDH|16241354509831254042</stp>
        <tr r="E133" s="1"/>
      </tp>
      <tp t="s">
        <v>#N/A N/A</v>
        <stp/>
        <stp>BDH|13174923178910656959</stp>
        <tr r="E238" s="1"/>
      </tp>
      <tp t="s">
        <v>#N/A N/A</v>
        <stp/>
        <stp>BDH|15993667664397329608</stp>
        <tr r="H167" s="1"/>
      </tp>
      <tp t="b">
        <v>0</v>
        <stp/>
        <stp>BDH|13979332911152821786</stp>
        <tr r="F24" s="1"/>
      </tp>
      <tp t="s">
        <v>#N/A N/A</v>
        <stp/>
        <stp>BDH|16590441529053411762</stp>
        <tr r="C224" s="1"/>
      </tp>
      <tp t="s">
        <v>#N/A N/A</v>
        <stp/>
        <stp>BDH|16729058805513800151</stp>
        <tr r="G116" s="1"/>
      </tp>
      <tp t="b">
        <v>0</v>
        <stp/>
        <stp>BDH|15003213214615629795</stp>
        <tr r="F44" s="1"/>
      </tp>
      <tp t="s">
        <v>#N/A N/A</v>
        <stp/>
        <stp>BDH|11359086257061017119</stp>
        <tr r="G100" s="1"/>
      </tp>
      <tp t="s">
        <v>#N/A N/A</v>
        <stp/>
        <stp>BDH|12660146349380001368</stp>
        <tr r="F241" s="1"/>
      </tp>
      <tp t="s">
        <v>#N/A N/A</v>
        <stp/>
        <stp>BDH|10377519894579932127</stp>
        <tr r="C227" s="1"/>
      </tp>
      <tp t="s">
        <v>#N/A N/A</v>
        <stp/>
        <stp>BDH|10393909919328458437</stp>
        <tr r="H220" s="1"/>
      </tp>
      <tp t="s">
        <v>#N/A N/A</v>
        <stp/>
        <stp>BDH|16732796113631552556</stp>
        <tr r="F87" s="1"/>
      </tp>
      <tp t="b">
        <v>0</v>
        <stp/>
        <stp>BDH|14499653578447447619</stp>
        <tr r="C6" s="1"/>
      </tp>
      <tp t="s">
        <v>#N/A N/A</v>
        <stp/>
        <stp>BDH|11971714560124489035</stp>
        <tr r="E105" s="1"/>
      </tp>
      <tp t="s">
        <v>#N/A N/A</v>
        <stp/>
        <stp>BDH|16241944625079468085</stp>
        <tr r="F99" s="1"/>
      </tp>
      <tp t="s">
        <v>#N/A N/A</v>
        <stp/>
        <stp>BDH|13295854895763515589</stp>
        <tr r="H218" s="1"/>
      </tp>
      <tp t="b">
        <v>0</v>
        <stp/>
        <stp>BDH|17271691693204774801</stp>
        <tr r="C45" s="1"/>
      </tp>
      <tp t="s">
        <v>#N/A N/A</v>
        <stp/>
        <stp>BDH|12279307418871073540</stp>
        <tr r="F109" s="1"/>
      </tp>
      <tp t="s">
        <v>#N/A N/A</v>
        <stp/>
        <stp>BDH|17101985273724124950</stp>
        <tr r="F82" s="1"/>
      </tp>
      <tp t="s">
        <v>#N/A N/A</v>
        <stp/>
        <stp>BDH|16592532662453050350</stp>
        <tr r="H238" s="1"/>
      </tp>
      <tp t="s">
        <v>#N/A N/A</v>
        <stp/>
        <stp>BDH|11079538106661113050</stp>
        <tr r="F157" s="1"/>
      </tp>
      <tp t="b">
        <v>0</v>
        <stp/>
        <stp>BDH|12213305564341566329</stp>
        <tr r="H13" s="1"/>
      </tp>
      <tp t="s">
        <v>#N/A N/A</v>
        <stp/>
        <stp>BDH|10225861732417141960</stp>
        <tr r="F233" s="1"/>
      </tp>
      <tp t="s">
        <v>#N/A N/A</v>
        <stp/>
        <stp>BDH|14370245129575648491</stp>
        <tr r="E87" s="1"/>
      </tp>
      <tp t="s">
        <v>#N/A N/A</v>
        <stp/>
        <stp>BDH|12579120814980065729</stp>
        <tr r="H147" s="1"/>
      </tp>
      <tp t="b">
        <v>0</v>
        <stp/>
        <stp>BDH|10739895762732932942</stp>
        <tr r="F59" s="1"/>
      </tp>
      <tp t="s">
        <v>#N/A N/A</v>
        <stp/>
        <stp>BDH|15980089915806379768</stp>
        <tr r="C119" s="1"/>
      </tp>
      <tp t="s">
        <v>#N/A N/A</v>
        <stp/>
        <stp>BDH|17304196890239995333</stp>
        <tr r="E271" s="1"/>
      </tp>
      <tp t="s">
        <v>#N/A N/A</v>
        <stp/>
        <stp>BDH|14392650372593725338</stp>
        <tr r="F174" s="1"/>
      </tp>
      <tp t="b">
        <v>0</v>
        <stp/>
        <stp>BDH|16252474071973551324</stp>
        <tr r="D41" s="1"/>
      </tp>
      <tp t="s">
        <v>#N/A N/A</v>
        <stp/>
        <stp>BDH|12600631582061670829</stp>
        <tr r="C111" s="1"/>
      </tp>
      <tp t="b">
        <v>0</v>
        <stp/>
        <stp>BDH|16795335642103265777</stp>
        <tr r="H52" s="1"/>
      </tp>
      <tp t="s">
        <v>#N/A N/A</v>
        <stp/>
        <stp>BDH|11736247895379425616</stp>
        <tr r="F171" s="1"/>
      </tp>
      <tp t="s">
        <v>#N/A N/A</v>
        <stp/>
        <stp>BDH|15430017549446772287</stp>
        <tr r="C143" s="1"/>
      </tp>
      <tp t="s">
        <v>#N/A N/A</v>
        <stp/>
        <stp>BDH|10408253966889550801</stp>
        <tr r="G101" s="1"/>
      </tp>
      <tp t="b">
        <v>0</v>
        <stp/>
        <stp>BDH|13529959583454609370</stp>
        <tr r="E34" s="1"/>
      </tp>
      <tp t="s">
        <v>#N/A N/A</v>
        <stp/>
        <stp>BDH|14238143173783574421</stp>
        <tr r="C233" s="1"/>
      </tp>
      <tp t="s">
        <v>#N/A N/A</v>
        <stp/>
        <stp>BDH|12941061678383420314</stp>
        <tr r="D80" s="1"/>
      </tp>
      <tp t="s">
        <v>#N/A N/A</v>
        <stp/>
        <stp>BDH|14877124861555880319</stp>
        <tr r="C246" s="1"/>
      </tp>
      <tp t="s">
        <v>#N/A N/A</v>
        <stp/>
        <stp>BDH|15272730164464981585</stp>
        <tr r="D167" s="1"/>
      </tp>
      <tp t="s">
        <v>#N/A N/A</v>
        <stp/>
        <stp>BDH|10611348887439045719</stp>
        <tr r="E157" s="1"/>
      </tp>
      <tp t="s">
        <v>#N/A N/A</v>
        <stp/>
        <stp>BDH|10197338167402836293</stp>
        <tr r="H159" s="1"/>
      </tp>
      <tp t="s">
        <v>#N/A N/A</v>
        <stp/>
        <stp>BDH|12238484403272695186</stp>
        <tr r="C107" s="1"/>
      </tp>
      <tp t="s">
        <v>#N/A N/A</v>
        <stp/>
        <stp>BDH|14466763719371471689</stp>
        <tr r="H202" s="1"/>
      </tp>
      <tp t="b">
        <v>0</v>
        <stp/>
        <stp>BDH|11558826776129470226</stp>
        <tr r="D28" s="1"/>
      </tp>
      <tp t="s">
        <v>#N/A N/A</v>
        <stp/>
        <stp>BDH|16753762645261560160</stp>
        <tr r="C125" s="1"/>
      </tp>
      <tp t="b">
        <v>0</v>
        <stp/>
        <stp>BDH|15246201647611534772</stp>
        <tr r="G23" s="1"/>
      </tp>
      <tp t="s">
        <v>#N/A N/A</v>
        <stp/>
        <stp>BDH|15427042825767195524</stp>
        <tr r="G200" s="1"/>
      </tp>
      <tp t="s">
        <v>#N/A N/A</v>
        <stp/>
        <stp>BDH|10279830124426015938</stp>
        <tr r="C167" s="1"/>
      </tp>
      <tp t="s">
        <v>#N/A N/A</v>
        <stp/>
        <stp>BDH|17617633701684105036</stp>
        <tr r="D172" s="1"/>
      </tp>
      <tp t="s">
        <v>#N/A N/A</v>
        <stp/>
        <stp>BDH|14167862548249785414</stp>
        <tr r="C256" s="1"/>
      </tp>
      <tp t="s">
        <v>#N/A N/A</v>
        <stp/>
        <stp>BDH|11315887062049801384</stp>
        <tr r="D64" s="1"/>
      </tp>
      <tp t="s">
        <v>#N/A N/A</v>
        <stp/>
        <stp>BDH|11520091244258446852</stp>
        <tr r="C226" s="1"/>
      </tp>
      <tp t="s">
        <v>#N/A N/A</v>
        <stp/>
        <stp>BDH|14085261268246623307</stp>
        <tr r="E68" s="1"/>
      </tp>
      <tp t="s">
        <v>#N/A N/A</v>
        <stp/>
        <stp>BDH|12413300403403693790</stp>
        <tr r="E187" s="1"/>
      </tp>
      <tp t="s">
        <v>#N/A N/A</v>
        <stp/>
        <stp>BDH|14863511028492003490</stp>
        <tr r="E140" s="1"/>
      </tp>
      <tp t="s">
        <v>#N/A N/A</v>
        <stp/>
        <stp>BDH|14968497748982496341</stp>
        <tr r="D244" s="1"/>
      </tp>
      <tp t="s">
        <v>#N/A N/A</v>
        <stp/>
        <stp>BDH|15366365772212632696</stp>
        <tr r="E254" s="1"/>
      </tp>
      <tp t="s">
        <v>#N/A N/A</v>
        <stp/>
        <stp>BDH|17007320992611932926</stp>
        <tr r="F153" s="1"/>
      </tp>
      <tp t="s">
        <v>#N/A N/A</v>
        <stp/>
        <stp>BDH|12287801898210591640</stp>
        <tr r="F100" s="1"/>
      </tp>
      <tp t="s">
        <v>#N/A N/A</v>
        <stp/>
        <stp>BDH|18362891662054577762</stp>
        <tr r="F208" s="1"/>
      </tp>
      <tp t="s">
        <v>#N/A N/A</v>
        <stp/>
        <stp>BDH|14678792113166634117</stp>
        <tr r="G140" s="1"/>
      </tp>
      <tp t="s">
        <v>#N/A N/A</v>
        <stp/>
        <stp>BDH|14339560736996848110</stp>
        <tr r="F232" s="1"/>
      </tp>
      <tp t="s">
        <v>#N/A N/A</v>
        <stp/>
        <stp>BDH|14160150978271440624</stp>
        <tr r="E173" s="1"/>
      </tp>
      <tp t="s">
        <v>#N/A N/A</v>
        <stp/>
        <stp>BDH|17011129032107408791</stp>
        <tr r="D247" s="1"/>
      </tp>
      <tp t="s">
        <v>#N/A N/A</v>
        <stp/>
        <stp>BDH|15858362362127698272</stp>
        <tr r="G87" s="1"/>
      </tp>
      <tp t="s">
        <v>#N/A N/A</v>
        <stp/>
        <stp>BDH|14071237911537804574</stp>
        <tr r="D208" s="1"/>
      </tp>
      <tp t="s">
        <v>#N/A N/A</v>
        <stp/>
        <stp>BDH|17458374409197168660</stp>
        <tr r="H206" s="1"/>
      </tp>
      <tp t="s">
        <v>#N/A N/A</v>
        <stp/>
        <stp>BDH|15369514625456236199</stp>
        <tr r="G113" s="1"/>
      </tp>
      <tp t="s">
        <v>#N/A N/A</v>
        <stp/>
        <stp>BDH|18390657429248084135</stp>
        <tr r="E154" s="1"/>
      </tp>
      <tp t="s">
        <v>#N/A N/A</v>
        <stp/>
        <stp>BDH|15164907497685210583</stp>
        <tr r="D239" s="1"/>
      </tp>
      <tp t="b">
        <v>0</v>
        <stp/>
        <stp>BDH|10395301276057261680</stp>
        <tr r="D35" s="1"/>
      </tp>
      <tp t="s">
        <v>#N/A N/A</v>
        <stp/>
        <stp>BDH|16113955522289968103</stp>
        <tr r="D260" s="1"/>
      </tp>
      <tp t="s">
        <v>#N/A N/A</v>
        <stp/>
        <stp>BDH|15237523078442667000</stp>
        <tr r="H243" s="1"/>
      </tp>
      <tp t="s">
        <v>#N/A N/A</v>
        <stp/>
        <stp>BDH|13507529928790437158</stp>
        <tr r="G186" s="1"/>
      </tp>
    </main>
    <main first="bofaddin.rtdserver">
      <tp t="s">
        <v>#N/A N/A</v>
        <stp/>
        <stp>BDH|4172171422893425</stp>
        <tr r="E152" s="1"/>
      </tp>
    </main>
    <main first="bofaddin.rtdserver">
      <tp t="s">
        <v>#N/A N/A</v>
        <stp/>
        <stp>BDH|7471469489465487247</stp>
        <tr r="G236" s="1"/>
      </tp>
      <tp t="s">
        <v>#N/A N/A</v>
        <stp/>
        <stp>BDH|1126136089335730171</stp>
        <tr r="D158" s="1"/>
      </tp>
      <tp t="s">
        <v>#N/A N/A</v>
        <stp/>
        <stp>BDH|3413230584555825037</stp>
        <tr r="E88" s="1"/>
      </tp>
      <tp t="b">
        <v>0</v>
        <stp/>
        <stp>BDH|3372465198284171646</stp>
        <tr r="H58" s="1"/>
      </tp>
      <tp t="b">
        <v>0</v>
        <stp/>
        <stp>BDH|1080856554335190584</stp>
        <tr r="D49" s="1"/>
      </tp>
      <tp t="s">
        <v>#N/A N/A</v>
        <stp/>
        <stp>BDH|9058723211373918026</stp>
        <tr r="E269" s="1"/>
      </tp>
      <tp t="s">
        <v>#N/A N/A</v>
        <stp/>
        <stp>BDH|4554312698820117254</stp>
        <tr r="C110" s="1"/>
      </tp>
      <tp t="b">
        <v>0</v>
        <stp/>
        <stp>BDH|3210325285790990447</stp>
        <tr r="E55" s="1"/>
      </tp>
      <tp t="s">
        <v>#N/A N/A</v>
        <stp/>
        <stp>BDH|5812399388472212027</stp>
        <tr r="E222" s="1"/>
      </tp>
      <tp t="s">
        <v>#N/A N/A</v>
        <stp/>
        <stp>BDH|2604910408147147000</stp>
        <tr r="E199" s="1"/>
      </tp>
      <tp t="s">
        <v>#N/A N/A</v>
        <stp/>
        <stp>BDH|2370942807402786594</stp>
        <tr r="D93" s="1"/>
      </tp>
      <tp t="s">
        <v>#N/A N/A</v>
        <stp/>
        <stp>BDH|8571794126442756319</stp>
        <tr r="C176" s="1"/>
      </tp>
      <tp t="s">
        <v>#N/A N/A</v>
        <stp/>
        <stp>BDH|6001002530541530898</stp>
        <tr r="C105" s="1"/>
      </tp>
      <tp t="s">
        <v>#N/A N/A</v>
        <stp/>
        <stp>BDH|8790351825990985538</stp>
        <tr r="C178" s="1"/>
      </tp>
      <tp t="s">
        <v>#N/A N/A</v>
        <stp/>
        <stp>BDH|8127699605640911268</stp>
        <tr r="H96" s="1"/>
      </tp>
      <tp t="s">
        <v>#N/A N/A</v>
        <stp/>
        <stp>BDH|5740692891644884248</stp>
        <tr r="E200" s="1"/>
      </tp>
      <tp t="s">
        <v>#N/A N/A</v>
        <stp/>
        <stp>BDH|5022952198929786094</stp>
        <tr r="D152" s="1"/>
      </tp>
      <tp t="s">
        <v>#N/A N/A</v>
        <stp/>
        <stp>BDH|5127046982765284463</stp>
        <tr r="F81" s="1"/>
      </tp>
      <tp t="b">
        <v>0</v>
        <stp/>
        <stp>BDH|7710286632483902944</stp>
        <tr r="D40" s="1"/>
      </tp>
      <tp t="s">
        <v>#N/A N/A</v>
        <stp/>
        <stp>BDH|2582957447192747102</stp>
        <tr r="C166" s="1"/>
      </tp>
      <tp t="s">
        <v>#N/A N/A</v>
        <stp/>
        <stp>BDH|3303851570319895989</stp>
        <tr r="F222" s="1"/>
      </tp>
      <tp t="s">
        <v>#N/A N/A</v>
        <stp/>
        <stp>BDH|8745613695583235869</stp>
        <tr r="H130" s="1"/>
      </tp>
      <tp t="b">
        <v>0</v>
        <stp/>
        <stp>BDH|7050888853787557192</stp>
        <tr r="D39" s="1"/>
      </tp>
      <tp t="s">
        <v>#N/A N/A</v>
        <stp/>
        <stp>BDH|2432241681324065056</stp>
        <tr r="E67" s="1"/>
      </tp>
      <tp t="s">
        <v>#N/A N/A</v>
        <stp/>
        <stp>BDH|5017665318587952934</stp>
        <tr r="E213" s="1"/>
      </tp>
      <tp t="s">
        <v>#N/A N/A</v>
        <stp/>
        <stp>BDH|2039571107642178950</stp>
        <tr r="E178" s="1"/>
      </tp>
      <tp t="s">
        <v>#N/A N/A</v>
        <stp/>
        <stp>BDH|2931740165647829844</stp>
        <tr r="C205" s="1"/>
      </tp>
      <tp t="s">
        <v>#N/A N/A</v>
        <stp/>
        <stp>BDH|7206560780022413443</stp>
        <tr r="G209" s="1"/>
      </tp>
      <tp t="s">
        <v>#N/A N/A</v>
        <stp/>
        <stp>BDH|4337122059944950852</stp>
        <tr r="G134" s="1"/>
      </tp>
      <tp t="s">
        <v>#N/A N/A</v>
        <stp/>
        <stp>BDH|4046520047250062908</stp>
        <tr r="H94" s="1"/>
      </tp>
      <tp t="b">
        <v>0</v>
        <stp/>
        <stp>BDH|4481621256019385397</stp>
        <tr r="D34" s="1"/>
      </tp>
      <tp t="s">
        <v>#N/A N/A</v>
        <stp/>
        <stp>BDH|9019819709439666546</stp>
        <tr r="D90" s="1"/>
      </tp>
      <tp t="b">
        <v>0</v>
        <stp/>
        <stp>BDH|8994363625267232324</stp>
        <tr r="G18" s="1"/>
      </tp>
      <tp t="s">
        <v>#N/A N/A</v>
        <stp/>
        <stp>BDH|7629984774680005411</stp>
        <tr r="D125" s="1"/>
      </tp>
      <tp t="s">
        <v>#N/A N/A</v>
        <stp/>
        <stp>BDH|6063314039292663954</stp>
        <tr r="G68" s="1"/>
      </tp>
      <tp t="b">
        <v>0</v>
        <stp/>
        <stp>BDH|9191195217794096047</stp>
        <tr r="D26" s="1"/>
      </tp>
      <tp t="b">
        <v>0</v>
        <stp/>
        <stp>BDH|2810019021258701544</stp>
        <tr r="H60" s="1"/>
      </tp>
      <tp t="b">
        <v>0</v>
        <stp/>
        <stp>BDH|2822154980067026157</stp>
        <tr r="G52" s="1"/>
      </tp>
      <tp t="s">
        <v>#N/A N/A</v>
        <stp/>
        <stp>BDH|3887544389414445798</stp>
        <tr r="G246" s="1"/>
      </tp>
      <tp t="s">
        <v>#N/A N/A</v>
        <stp/>
        <stp>BDH|2422858911671014785</stp>
        <tr r="D65" s="1"/>
      </tp>
      <tp t="s">
        <v>#N/A N/A</v>
        <stp/>
        <stp>BDH|8665876143538859130</stp>
        <tr r="F151" s="1"/>
      </tp>
      <tp t="s">
        <v>#N/A N/A</v>
        <stp/>
        <stp>BDH|2844957351825349661</stp>
        <tr r="D175" s="1"/>
      </tp>
      <tp t="s">
        <v>#N/A N/A</v>
        <stp/>
        <stp>BDH|5705683451302211920</stp>
        <tr r="E4" s="1"/>
      </tp>
      <tp t="s">
        <v>#N/A N/A</v>
        <stp/>
        <stp>BDH|1987081878189251255</stp>
        <tr r="C98" s="1"/>
      </tp>
      <tp t="s">
        <v>#N/A N/A</v>
        <stp/>
        <stp>BDH|9452417805025895566</stp>
        <tr r="D242" s="1"/>
      </tp>
      <tp t="s">
        <v>#N/A N/A</v>
        <stp/>
        <stp>BDH|2092698780488548930</stp>
        <tr r="G254" s="1"/>
      </tp>
      <tp t="s">
        <v>#N/A N/A</v>
        <stp/>
        <stp>BDH|2800480051816491896</stp>
        <tr r="E253" s="1"/>
      </tp>
      <tp t="s">
        <v>#N/A N/A</v>
        <stp/>
        <stp>BDH|1610018499467227205</stp>
        <tr r="C122" s="1"/>
      </tp>
      <tp t="b">
        <v>0</v>
        <stp/>
        <stp>BDH|2543899656730499237</stp>
        <tr r="C38" s="1"/>
      </tp>
      <tp t="b">
        <v>0</v>
        <stp/>
        <stp>BDH|7586842030405585467</stp>
        <tr r="G9" s="1"/>
      </tp>
      <tp t="s">
        <v>#N/A N/A</v>
        <stp/>
        <stp>BDH|8133061127214078326</stp>
        <tr r="G252" s="1"/>
      </tp>
      <tp t="s">
        <v>#N/A N/A</v>
        <stp/>
        <stp>BDH|1305215792884286309</stp>
        <tr r="E78" s="1"/>
      </tp>
      <tp t="s">
        <v>#N/A N/A</v>
        <stp/>
        <stp>BDH|7880656964849221380</stp>
        <tr r="F203" s="1"/>
      </tp>
      <tp t="s">
        <v>#N/A N/A</v>
        <stp/>
        <stp>BDH|9391243941720374265</stp>
        <tr r="F62" s="1"/>
      </tp>
      <tp t="s">
        <v>#N/A N/A</v>
        <stp/>
        <stp>BDH|8065372520092454638</stp>
        <tr r="F125" s="1"/>
      </tp>
      <tp t="s">
        <v>#N/A N/A</v>
        <stp/>
        <stp>BDH|9137707532262083235</stp>
        <tr r="G261" s="1"/>
      </tp>
      <tp t="s">
        <v>#N/A N/A</v>
        <stp/>
        <stp>BDH|3699630314578524140</stp>
        <tr r="F128" s="1"/>
      </tp>
      <tp t="s">
        <v>#N/A N/A</v>
        <stp/>
        <stp>BDH|9390422982560672843</stp>
        <tr r="F170" s="1"/>
      </tp>
      <tp t="s">
        <v>#N/A N/A</v>
        <stp/>
        <stp>BDH|5550971710119594963</stp>
        <tr r="H113" s="1"/>
      </tp>
      <tp t="s">
        <v>#N/A N/A</v>
        <stp/>
        <stp>BDH|2919194611509076609</stp>
        <tr r="F176" s="1"/>
      </tp>
      <tp t="s">
        <v>#N/A N/A</v>
        <stp/>
        <stp>BDH|5209873635225622605</stp>
        <tr r="E229" s="1"/>
      </tp>
      <tp t="s">
        <v>#N/A N/A</v>
        <stp/>
        <stp>BDH|4420914842750368437</stp>
        <tr r="E180" s="1"/>
      </tp>
      <tp t="s">
        <v>#N/A N/A</v>
        <stp/>
        <stp>BDH|3700930255310178274</stp>
        <tr r="C102" s="1"/>
      </tp>
      <tp t="b">
        <v>0</v>
        <stp/>
        <stp>BDH|1594976265983029006</stp>
        <tr r="E15" s="1"/>
      </tp>
      <tp t="s">
        <v>#N/A N/A</v>
        <stp/>
        <stp>BDH|1670987132934399286</stp>
        <tr r="F108" s="1"/>
      </tp>
      <tp t="b">
        <v>0</v>
        <stp/>
        <stp>BDH|8685634614032374050</stp>
        <tr r="G55" s="1"/>
      </tp>
      <tp t="s">
        <v>#N/A N/A</v>
        <stp/>
        <stp>BDH|9261859075789307263</stp>
        <tr r="F235" s="1"/>
      </tp>
      <tp t="s">
        <v>#N/A N/A</v>
        <stp/>
        <stp>BDH|5881674639774273936</stp>
        <tr r="E226" s="1"/>
      </tp>
      <tp t="s">
        <v>#N/A N/A</v>
        <stp/>
        <stp>BDH|5013891462402928459</stp>
        <tr r="H208" s="1"/>
      </tp>
      <tp t="s">
        <v>#N/A N/A</v>
        <stp/>
        <stp>BDH|9062050625441518713</stp>
        <tr r="F127" s="1"/>
      </tp>
      <tp t="s">
        <v>#N/A N/A</v>
        <stp/>
        <stp>BDH|6402850241190148750</stp>
        <tr r="C133" s="1"/>
      </tp>
      <tp t="s">
        <v>#N/A N/A</v>
        <stp/>
        <stp>BDH|3749829739010881500</stp>
        <tr r="G135" s="1"/>
      </tp>
      <tp t="b">
        <v>0</v>
        <stp/>
        <stp>BDH|7087782458751202965</stp>
        <tr r="G11" s="1"/>
      </tp>
      <tp t="s">
        <v>#N/A N/A</v>
        <stp/>
        <stp>BDH|1310620591655121644</stp>
        <tr r="H227" s="1"/>
      </tp>
      <tp t="s">
        <v>#N/A N/A</v>
        <stp/>
        <stp>BDH|1038955431931947788</stp>
        <tr r="F70" s="1"/>
      </tp>
      <tp t="b">
        <v>0</v>
        <stp/>
        <stp>BDH|1012174948638207186</stp>
        <tr r="E45" s="1"/>
      </tp>
      <tp t="s">
        <v>#N/A N/A</v>
        <stp/>
        <stp>BDH|7446816856225099265</stp>
        <tr r="H144" s="1"/>
      </tp>
      <tp t="s">
        <v>#N/A N/A</v>
        <stp/>
        <stp>BDH|5646432581414846360</stp>
        <tr r="H169" s="1"/>
      </tp>
      <tp t="s">
        <v>#N/A N/A</v>
        <stp/>
        <stp>BDH|2531315258313388956</stp>
        <tr r="F158" s="1"/>
      </tp>
      <tp t="b">
        <v>0</v>
        <stp/>
        <stp>BDH|3930191698563777673</stp>
        <tr r="G39" s="1"/>
      </tp>
      <tp t="b">
        <v>0</v>
        <stp/>
        <stp>BDH|3581687730958025052</stp>
        <tr r="H7" s="1"/>
      </tp>
      <tp t="s">
        <v>#N/A N/A</v>
        <stp/>
        <stp>BDH|5825528786367738137</stp>
        <tr r="H102" s="1"/>
      </tp>
      <tp t="s">
        <v>#N/A N/A</v>
        <stp/>
        <stp>BDH|8058796731751099302</stp>
        <tr r="F262" s="1"/>
      </tp>
      <tp t="b">
        <v>0</v>
        <stp/>
        <stp>BDH|7944126220158078226</stp>
        <tr r="G16" s="1"/>
      </tp>
      <tp t="s">
        <v>#N/A N/A</v>
        <stp/>
        <stp>BDH|2441375892246868070</stp>
        <tr r="E98" s="1"/>
      </tp>
      <tp t="s">
        <v>#N/A N/A</v>
        <stp/>
        <stp>BDH|8381196063300033176</stp>
        <tr r="G64" s="1"/>
      </tp>
      <tp t="s">
        <v>#N/A N/A</v>
        <stp/>
        <stp>BDH|6972837776190706759</stp>
        <tr r="F105" s="1"/>
      </tp>
      <tp t="b">
        <v>0</v>
        <stp/>
        <stp>BDH|3571501559035049836</stp>
        <tr r="G41" s="1"/>
      </tp>
      <tp t="b">
        <v>0</v>
        <stp/>
        <stp>BDH|6175993393310547814</stp>
        <tr r="G5" s="1"/>
      </tp>
      <tp t="s">
        <v>#N/A N/A</v>
        <stp/>
        <stp>BDH|3837095561459918269</stp>
        <tr r="C266" s="1"/>
      </tp>
      <tp t="b">
        <v>0</v>
        <stp/>
        <stp>BDH|4271261592750221188</stp>
        <tr r="G32" s="1"/>
      </tp>
      <tp t="s">
        <v>#N/A N/A</v>
        <stp/>
        <stp>BDH|6582311928451792878</stp>
        <tr r="H142" s="1"/>
      </tp>
      <tp t="s">
        <v>#N/A N/A</v>
        <stp/>
        <stp>BDH|7378781075089110026</stp>
        <tr r="D171" s="1"/>
      </tp>
      <tp t="s">
        <v>#N/A N/A</v>
        <stp/>
        <stp>BDH|3167401414061139996</stp>
        <tr r="H75" s="1"/>
      </tp>
      <tp t="s">
        <v>#N/A N/A</v>
        <stp/>
        <stp>BDH|3668090607198788522</stp>
        <tr r="D273" s="1"/>
      </tp>
      <tp t="s">
        <v>#N/A N/A</v>
        <stp/>
        <stp>BDH|3125335036834526926</stp>
        <tr r="E164" s="1"/>
      </tp>
      <tp t="s">
        <v>#N/A N/A</v>
        <stp/>
        <stp>BDH|2208936104901646401</stp>
        <tr r="E257" s="1"/>
      </tp>
      <tp t="b">
        <v>0</v>
        <stp/>
        <stp>BDH|8323250766523678161</stp>
        <tr r="G50" s="1"/>
      </tp>
      <tp t="s">
        <v>#N/A N/A</v>
        <stp/>
        <stp>BDH|1937583776685447833</stp>
        <tr r="H201" s="1"/>
      </tp>
      <tp t="s">
        <v>#N/A N/A</v>
        <stp/>
        <stp>BDH|3491841019907974300</stp>
        <tr r="H209" s="1"/>
      </tp>
      <tp t="b">
        <v>0</v>
        <stp/>
        <stp>BDH|8733753363865933282</stp>
        <tr r="E7" s="1"/>
      </tp>
      <tp t="s">
        <v>#N/A N/A</v>
        <stp/>
        <stp>BDH|2499954372301429374</stp>
        <tr r="C86" s="1"/>
      </tp>
      <tp t="b">
        <v>0</v>
        <stp/>
        <stp>BDH|4770322196347293715</stp>
        <tr r="H34" s="1"/>
      </tp>
      <tp t="s">
        <v>#N/A N/A</v>
        <stp/>
        <stp>BDH|3542618333430195871</stp>
        <tr r="H92" s="1"/>
      </tp>
      <tp t="b">
        <v>0</v>
        <stp/>
        <stp>BDH|9112095133575277186</stp>
        <tr r="E56" s="1"/>
      </tp>
      <tp t="s">
        <v>#N/A N/A</v>
        <stp/>
        <stp>BDH|9879807228399391421</stp>
        <tr r="D255" s="1"/>
      </tp>
      <tp t="s">
        <v>#N/A N/A</v>
        <stp/>
        <stp>BDH|8131548363091024475</stp>
        <tr r="D100" s="1"/>
      </tp>
      <tp t="s">
        <v>#N/A N/A</v>
        <stp/>
        <stp>BDH|5492955495009664246</stp>
        <tr r="H259" s="1"/>
      </tp>
      <tp t="s">
        <v>#N/A N/A</v>
        <stp/>
        <stp>BDH|9795574057921325637</stp>
        <tr r="G102" s="1"/>
      </tp>
      <tp t="s">
        <v>#N/A N/A</v>
        <stp/>
        <stp>BDH|3168830530165227374</stp>
        <tr r="C270" s="1"/>
      </tp>
      <tp t="b">
        <v>0</v>
        <stp/>
        <stp>BDH|8732036012454314324</stp>
        <tr r="C56" s="1"/>
      </tp>
      <tp t="s">
        <v>#N/A N/A</v>
        <stp/>
        <stp>BDH|3682707955346189952</stp>
        <tr r="G229" s="1"/>
      </tp>
      <tp t="s">
        <v>#N/A N/A</v>
        <stp/>
        <stp>BDH|1466206400125441879</stp>
        <tr r="G203" s="1"/>
      </tp>
      <tp t="b">
        <v>0</v>
        <stp/>
        <stp>BDH|6602504695477289352</stp>
        <tr r="H12" s="1"/>
      </tp>
      <tp t="s">
        <v>#N/A N/A</v>
        <stp/>
        <stp>BDH|4025817132127721614</stp>
        <tr r="C261" s="1"/>
      </tp>
      <tp t="b">
        <v>0</v>
        <stp/>
        <stp>BDH|4378965536655102570</stp>
        <tr r="F45" s="1"/>
      </tp>
      <tp t="s">
        <v>#N/A N/A</v>
        <stp/>
        <stp>BDH|6721225696587190471</stp>
        <tr r="H157" s="1"/>
      </tp>
      <tp t="s">
        <v>#N/A N/A</v>
        <stp/>
        <stp>BDH|18669465320286319</stp>
        <tr r="G242" s="1"/>
      </tp>
      <tp t="b">
        <v>0</v>
        <stp/>
        <stp>BDH|8684196151534558716</stp>
        <tr r="C14" s="1"/>
      </tp>
      <tp t="s">
        <v>#N/A N/A</v>
        <stp/>
        <stp>BDH|3884441496717487649</stp>
        <tr r="E235" s="1"/>
      </tp>
      <tp t="s">
        <v>#N/A N/A</v>
        <stp/>
        <stp>BDH|2183080755231486934</stp>
        <tr r="H98" s="1"/>
      </tp>
      <tp t="s">
        <v>#N/A N/A</v>
        <stp/>
        <stp>BDH|8898917720069656543</stp>
        <tr r="C250" s="1"/>
      </tp>
      <tp t="s">
        <v>#N/A N/A</v>
        <stp/>
        <stp>BDH|7873148932859291372</stp>
        <tr r="G187" s="1"/>
      </tp>
      <tp t="s">
        <v>#N/A N/A</v>
        <stp/>
        <stp>BDH|4240610518974901893</stp>
        <tr r="D104" s="1"/>
      </tp>
      <tp t="s">
        <v>#N/A N/A</v>
        <stp/>
        <stp>BDH|2286807757413422390</stp>
        <tr r="F179" s="1"/>
      </tp>
      <tp t="s">
        <v>#N/A N/A</v>
        <stp/>
        <stp>BDH|6405546072762282987</stp>
        <tr r="F66" s="1"/>
      </tp>
      <tp t="s">
        <v>#N/A N/A</v>
        <stp/>
        <stp>BDH|7045856979747498017</stp>
        <tr r="C149" s="1"/>
      </tp>
      <tp t="s">
        <v>#N/A N/A</v>
        <stp/>
        <stp>BDH|9849030927897727321</stp>
        <tr r="F259" s="1"/>
      </tp>
      <tp t="s">
        <v>#N/A N/A</v>
        <stp/>
        <stp>BDH|6377019181408969946</stp>
        <tr r="C265" s="1"/>
      </tp>
      <tp t="s">
        <v>#N/A N/A</v>
        <stp/>
        <stp>BDH|4317519709066743823</stp>
        <tr r="H134" s="1"/>
      </tp>
      <tp t="s">
        <v>#N/A N/A</v>
        <stp/>
        <stp>BDH|2811263793175746350</stp>
        <tr r="H200" s="1"/>
      </tp>
      <tp t="s">
        <v>#N/A N/A</v>
        <stp/>
        <stp>BDH|1425839122652867622</stp>
        <tr r="D178" s="1"/>
      </tp>
      <tp t="s">
        <v>#N/A N/A</v>
        <stp/>
        <stp>BDH|1529581281307687469</stp>
        <tr r="G260" s="1"/>
      </tp>
      <tp t="s">
        <v>#N/A N/A</v>
        <stp/>
        <stp>BDH|8363592282082451801</stp>
        <tr r="H143" s="1"/>
      </tp>
      <tp t="b">
        <v>0</v>
        <stp/>
        <stp>BDH|8778150347765117785</stp>
        <tr r="E36" s="1"/>
      </tp>
      <tp t="s">
        <v>#N/A N/A</v>
        <stp/>
        <stp>BDH|3497921439600345603</stp>
        <tr r="G93" s="1"/>
      </tp>
      <tp t="s">
        <v>#N/A N/A</v>
        <stp/>
        <stp>BDH|9492538948240324710</stp>
        <tr r="G214" s="1"/>
      </tp>
      <tp t="s">
        <v>#N/A N/A</v>
        <stp/>
        <stp>BDH|6854928442517544303</stp>
        <tr r="C169" s="1"/>
      </tp>
      <tp t="b">
        <v>0</v>
        <stp/>
        <stp>BDH|1504328593263161783</stp>
        <tr r="G40" s="1"/>
      </tp>
      <tp t="s">
        <v>#N/A N/A</v>
        <stp/>
        <stp>BDH|7004948546965229029</stp>
        <tr r="F137" s="1"/>
      </tp>
      <tp t="s">
        <v>#N/A N/A</v>
        <stp/>
        <stp>BDH|5206821492958158310</stp>
        <tr r="C230" s="1"/>
      </tp>
      <tp t="s">
        <v>#N/A N/A</v>
        <stp/>
        <stp>BDH|9221650021351690339</stp>
        <tr r="C271" s="1"/>
      </tp>
      <tp t="s">
        <v>#N/A N/A</v>
        <stp/>
        <stp>BDH|5832143699267514533</stp>
        <tr r="G163" s="1"/>
      </tp>
      <tp t="s">
        <v>#N/A N/A</v>
        <stp/>
        <stp>BDH|7786519445681573852</stp>
        <tr r="C101" s="1"/>
      </tp>
      <tp t="s">
        <v>#N/A N/A</v>
        <stp/>
        <stp>BDH|2532656530051468975</stp>
        <tr r="E3" s="1"/>
      </tp>
      <tp t="s">
        <v>#N/A N/A</v>
        <stp/>
        <stp>BDH|8074537571861449453</stp>
        <tr r="F96" s="1"/>
      </tp>
      <tp t="s">
        <v>#N/A N/A</v>
        <stp/>
        <stp>BDH|3300906764776158565</stp>
        <tr r="C82" s="1"/>
      </tp>
      <tp t="s">
        <v>#N/A N/A</v>
        <stp/>
        <stp>BDH|7283025197926492738</stp>
        <tr r="G166" s="1"/>
      </tp>
      <tp t="s">
        <v>#N/A N/A</v>
        <stp/>
        <stp>BDH|1334207833616604964</stp>
        <tr r="E90" s="1"/>
      </tp>
      <tp t="s">
        <v>#N/A N/A</v>
        <stp/>
        <stp>BDH|9299121633367752347</stp>
        <tr r="E265" s="1"/>
      </tp>
      <tp t="s">
        <v>#N/A N/A</v>
        <stp/>
        <stp>BDH|3783040757210574913</stp>
        <tr r="G255" s="1"/>
      </tp>
      <tp t="s">
        <v>#N/A N/A</v>
        <stp/>
        <stp>BDH|8448781448176721224</stp>
        <tr r="E249" s="1"/>
      </tp>
      <tp t="s">
        <v>#N/A N/A</v>
        <stp/>
        <stp>BDH|4586126697027728460</stp>
        <tr r="G251" s="1"/>
      </tp>
      <tp t="b">
        <v>0</v>
        <stp/>
        <stp>BDH|4918786298101852472</stp>
        <tr r="E47" s="1"/>
      </tp>
      <tp t="s">
        <v>#N/A N/A</v>
        <stp/>
        <stp>BDH|7746183032518988228</stp>
        <tr r="C196" s="1"/>
      </tp>
      <tp t="s">
        <v>#N/A N/A</v>
        <stp/>
        <stp>BDH|5122403137974989998</stp>
        <tr r="E215" s="1"/>
      </tp>
      <tp t="s">
        <v>#N/A N/A</v>
        <stp/>
        <stp>BDH|2344279585986056162</stp>
        <tr r="G221" s="1"/>
      </tp>
      <tp t="b">
        <v>0</v>
        <stp/>
        <stp>BDH|1238420196877372424</stp>
        <tr r="D18" s="1"/>
      </tp>
      <tp t="s">
        <v>#N/A N/A</v>
        <stp/>
        <stp>BDH|9669979536834751841</stp>
        <tr r="H185" s="1"/>
      </tp>
      <tp t="s">
        <v>#N/A N/A</v>
        <stp/>
        <stp>BDH|9086008714645114211</stp>
        <tr r="E72" s="1"/>
      </tp>
      <tp t="s">
        <v>#N/A N/A</v>
        <stp/>
        <stp>BDH|8596373923837224176</stp>
        <tr r="E120" s="1"/>
      </tp>
      <tp t="s">
        <v>#N/A N/A</v>
        <stp/>
        <stp>BDH|4766887315066787490</stp>
        <tr r="F107" s="1"/>
      </tp>
      <tp t="s">
        <v>#N/A N/A</v>
        <stp/>
        <stp>BDH|5324368445768520509</stp>
        <tr r="H228" s="1"/>
      </tp>
      <tp t="s">
        <v>#N/A N/A</v>
        <stp/>
        <stp>BDH|6170379542776957885</stp>
        <tr r="D109" s="1"/>
      </tp>
      <tp t="s">
        <v>#N/A N/A</v>
        <stp/>
        <stp>BDH|79354862612555554</stp>
        <tr r="G184" s="1"/>
      </tp>
      <tp t="s">
        <v>#N/A N/A</v>
        <stp/>
        <stp>BDH|47088429976405626</stp>
        <tr r="H164" s="1"/>
      </tp>
      <tp t="s">
        <v>#N/A N/A</v>
        <stp/>
        <stp>BDH|86617770281084250</stp>
        <tr r="C106" s="1"/>
      </tp>
      <tp t="s">
        <v>#N/A N/A</v>
        <stp/>
        <stp>BDH|35807053349187611</stp>
        <tr r="D187" s="1"/>
      </tp>
      <tp t="s">
        <v>#N/A N/A</v>
        <stp/>
        <stp>BDH|2739962933456961607</stp>
        <tr r="E170" s="1"/>
      </tp>
      <tp t="b">
        <v>0</v>
        <stp/>
        <stp>BDH|3910802601626730575</stp>
        <tr r="H11" s="1"/>
      </tp>
      <tp t="s">
        <v>#N/A N/A</v>
        <stp/>
        <stp>BDH|9687194179772656589</stp>
        <tr r="D225" s="1"/>
      </tp>
      <tp t="s">
        <v>#N/A N/A</v>
        <stp/>
        <stp>BDH|3931866097219401341</stp>
        <tr r="G74" s="1"/>
      </tp>
      <tp t="s">
        <v>#N/A N/A</v>
        <stp/>
        <stp>BDH|7217168984445034380</stp>
        <tr r="F268" s="1"/>
      </tp>
      <tp t="s">
        <v>#N/A N/A</v>
        <stp/>
        <stp>BDH|6386868943085902763</stp>
        <tr r="E70" s="1"/>
      </tp>
      <tp t="s">
        <v>#N/A N/A</v>
        <stp/>
        <stp>BDH|6792912552614419694</stp>
        <tr r="D193" s="1"/>
      </tp>
      <tp t="b">
        <v>0</v>
        <stp/>
        <stp>BDH|8457114369981713622</stp>
        <tr r="D5" s="1"/>
      </tp>
      <tp t="s">
        <v>#N/A N/A</v>
        <stp/>
        <stp>BDH|8881645552376183514</stp>
        <tr r="C88" s="1"/>
      </tp>
      <tp t="s">
        <v>#N/A N/A</v>
        <stp/>
        <stp>BDH|6643415280525171787</stp>
        <tr r="E214" s="1"/>
      </tp>
      <tp t="s">
        <v>#N/A N/A</v>
        <stp/>
        <stp>BDH|6784184931615300931</stp>
        <tr r="F166" s="1"/>
      </tp>
      <tp t="b">
        <v>0</v>
        <stp/>
        <stp>BDH|8940021254212887793</stp>
        <tr r="D27" s="1"/>
      </tp>
      <tp t="s">
        <v>#N/A N/A</v>
        <stp/>
        <stp>BDH|2832884538050683114</stp>
        <tr r="D235" s="1"/>
      </tp>
      <tp t="s">
        <v>#N/A N/A</v>
        <stp/>
        <stp>BDH|4987739714729172330</stp>
        <tr r="H247" s="1"/>
      </tp>
      <tp t="s">
        <v>#N/A N/A</v>
        <stp/>
        <stp>BDH|5422481583533230216</stp>
        <tr r="E264" s="1"/>
      </tp>
      <tp t="s">
        <v>#N/A N/A</v>
        <stp/>
        <stp>BDH|9100154129653202130</stp>
        <tr r="E116" s="1"/>
      </tp>
      <tp t="s">
        <v>#N/A N/A</v>
        <stp/>
        <stp>BDH|7326979978590525150</stp>
        <tr r="C137" s="1"/>
      </tp>
      <tp t="s">
        <v>#N/A N/A</v>
        <stp/>
        <stp>BDH|1314387058158899772</stp>
        <tr r="G125" s="1"/>
      </tp>
      <tp t="s">
        <v>#N/A N/A</v>
        <stp/>
        <stp>BDH|4866809862443126160</stp>
        <tr r="D135" s="1"/>
      </tp>
      <tp t="s">
        <v>#N/A N/A</v>
        <stp/>
        <stp>BDH|1383534184967882315</stp>
        <tr r="F146" s="1"/>
      </tp>
      <tp t="s">
        <v>#N/A N/A</v>
        <stp/>
        <stp>BDH|7560645386815443414</stp>
        <tr r="E236" s="1"/>
      </tp>
      <tp t="s">
        <v>#N/A N/A</v>
        <stp/>
        <stp>BDH|6400718638688907279</stp>
        <tr r="D76" s="1"/>
      </tp>
      <tp t="b">
        <v>0</v>
        <stp/>
        <stp>BDH|4393679008128631294</stp>
        <tr r="G30" s="1"/>
      </tp>
      <tp t="s">
        <v>#N/A N/A</v>
        <stp/>
        <stp>BDH|3961037440788989702</stp>
        <tr r="D115" s="1"/>
      </tp>
      <tp t="s">
        <v>#N/A N/A</v>
        <stp/>
        <stp>BDH|7591413040566717900</stp>
        <tr r="E186" s="1"/>
      </tp>
      <tp t="s">
        <v>#N/A N/A</v>
        <stp/>
        <stp>BDH|2173977646247573054</stp>
        <tr r="E182" s="1"/>
      </tp>
      <tp t="b">
        <v>0</v>
        <stp/>
        <stp>BDH|3991249488433741227</stp>
        <tr r="D46" s="1"/>
      </tp>
      <tp t="s">
        <v>#N/A N/A</v>
        <stp/>
        <stp>BDH|8750408977665118612</stp>
        <tr r="H245" s="1"/>
      </tp>
      <tp t="s">
        <v>#N/A N/A</v>
        <stp/>
        <stp>BDH|8952881320208685271</stp>
        <tr r="E64" s="1"/>
      </tp>
      <tp t="b">
        <v>0</v>
        <stp/>
        <stp>BDH|2643853247621181749</stp>
        <tr r="E24" s="1"/>
      </tp>
      <tp t="b">
        <v>0</v>
        <stp/>
        <stp>BDH|2716906100075617605</stp>
        <tr r="C29" s="1"/>
      </tp>
      <tp t="s">
        <v>#N/A N/A</v>
        <stp/>
        <stp>BDH|8541049622462684046</stp>
        <tr r="H120" s="1"/>
      </tp>
      <tp t="b">
        <v>0</v>
        <stp/>
        <stp>BDH|5826358996833850421</stp>
        <tr r="C26" s="1"/>
      </tp>
      <tp t="s">
        <v>#N/A N/A</v>
        <stp/>
        <stp>BDH|9009451564611304231</stp>
        <tr r="E149" s="1"/>
      </tp>
      <tp t="s">
        <v>#N/A N/A</v>
        <stp/>
        <stp>BDH|4181743170189558515</stp>
        <tr r="H263" s="1"/>
      </tp>
      <tp t="b">
        <v>0</v>
        <stp/>
        <stp>BDH|7827572446289615797</stp>
        <tr r="E8" s="1"/>
      </tp>
      <tp t="b">
        <v>0</v>
        <stp/>
        <stp>BDH|7834814800160635792</stp>
        <tr r="E29" s="1"/>
      </tp>
      <tp t="s">
        <v>#N/A N/A</v>
        <stp/>
        <stp>BDH|3635431579560290880</stp>
        <tr r="E77" s="1"/>
      </tp>
      <tp t="s">
        <v>#N/A N/A</v>
        <stp/>
        <stp>BDH|1735752712459429629</stp>
        <tr r="G137" s="1"/>
      </tp>
      <tp t="s">
        <v>#N/A N/A</v>
        <stp/>
        <stp>BDH|7293885268801214074</stp>
        <tr r="F145" s="1"/>
      </tp>
      <tp t="b">
        <v>0</v>
        <stp/>
        <stp>BDH|5670957004070116411</stp>
        <tr r="F53" s="1"/>
      </tp>
      <tp t="b">
        <v>0</v>
        <stp/>
        <stp>BDH|8240003305907388734</stp>
        <tr r="D57" s="1"/>
      </tp>
      <tp t="s">
        <v>#N/A N/A</v>
        <stp/>
        <stp>BDH|4793834915260213548</stp>
        <tr r="E201" s="1"/>
      </tp>
      <tp t="s">
        <v>#N/A N/A</v>
        <stp/>
        <stp>BDH|8338027024161374314</stp>
        <tr r="H273" s="1"/>
      </tp>
      <tp t="s">
        <v>#N/A N/A</v>
        <stp/>
        <stp>BDH|1047456217908664436</stp>
        <tr r="H104" s="1"/>
      </tp>
      <tp t="s">
        <v>#N/A N/A</v>
        <stp/>
        <stp>BDH|1274516804494558863</stp>
        <tr r="C3" s="1"/>
      </tp>
      <tp t="s">
        <v>#N/A N/A</v>
        <stp/>
        <stp>BDH|2865881628953837349</stp>
        <tr r="G63" s="1"/>
      </tp>
      <tp t="b">
        <v>0</v>
        <stp/>
        <stp>BDH|1778600949389305284</stp>
        <tr r="H19" s="1"/>
      </tp>
      <tp t="s">
        <v>#N/A N/A</v>
        <stp/>
        <stp>BDH|7095622324763003830</stp>
        <tr r="H242" s="1"/>
      </tp>
      <tp t="s">
        <v>#N/A N/A</v>
        <stp/>
        <stp>BDH|3220098845347024958</stp>
        <tr r="C114" s="1"/>
      </tp>
      <tp t="s">
        <v>#N/A N/A</v>
        <stp/>
        <stp>BDH|9399427532621919628</stp>
        <tr r="C165" s="1"/>
      </tp>
      <tp t="b">
        <v>0</v>
        <stp/>
        <stp>BDH|8017784539413135682</stp>
        <tr r="E54" s="1"/>
      </tp>
      <tp t="s">
        <v>#N/A N/A</v>
        <stp/>
        <stp>BDH|8645700907294156280</stp>
        <tr r="G157" s="1"/>
      </tp>
      <tp t="s">
        <v>#N/A N/A</v>
        <stp/>
        <stp>BDH|5103197901728008502</stp>
        <tr r="D153" s="1"/>
      </tp>
      <tp t="b">
        <v>0</v>
        <stp/>
        <stp>BDH|5647159287996997344</stp>
        <tr r="E17" s="1"/>
      </tp>
      <tp t="s">
        <v>#N/A N/A</v>
        <stp/>
        <stp>BDH|2252846764032317789</stp>
        <tr r="G145" s="1"/>
      </tp>
      <tp t="s">
        <v>#N/A N/A</v>
        <stp/>
        <stp>BDH|8006190755834234175</stp>
        <tr r="G185" s="1"/>
      </tp>
      <tp t="s">
        <v>#N/A N/A</v>
        <stp/>
        <stp>BDH|4945326899740563792</stp>
        <tr r="H174" s="1"/>
      </tp>
      <tp t="b">
        <v>0</v>
        <stp/>
        <stp>BDH|2176427790881939745</stp>
        <tr r="E16" s="1"/>
      </tp>
      <tp t="s">
        <v>#N/A N/A</v>
        <stp/>
        <stp>BDH|6650770591096908766</stp>
        <tr r="F218" s="1"/>
      </tp>
      <tp t="s">
        <v>#N/A N/A</v>
        <stp/>
        <stp>BDH|5708518193262954239</stp>
        <tr r="D237" s="1"/>
      </tp>
      <tp t="s">
        <v>#N/A N/A</v>
        <stp/>
        <stp>BDH|7387913625920098587</stp>
        <tr r="G90" s="1"/>
      </tp>
      <tp t="b">
        <v>0</v>
        <stp/>
        <stp>BDH|3509297294448674925</stp>
        <tr r="C47" s="1"/>
      </tp>
      <tp t="s">
        <v>#N/A N/A</v>
        <stp/>
        <stp>BDH|5987804962345109768</stp>
        <tr r="F243" s="1"/>
      </tp>
      <tp t="b">
        <v>0</v>
        <stp/>
        <stp>BDH|2606994675853026666</stp>
        <tr r="C35" s="1"/>
      </tp>
      <tp t="s">
        <v>#N/A N/A</v>
        <stp/>
        <stp>BDH|6528826051751301380</stp>
        <tr r="E210" s="1"/>
      </tp>
      <tp t="s">
        <v>#N/A N/A</v>
        <stp/>
        <stp>BDH|7976635064056160821</stp>
        <tr r="H84" s="1"/>
      </tp>
      <tp t="s">
        <v>#N/A N/A</v>
        <stp/>
        <stp>BDH|7860711230743434908</stp>
        <tr r="G155" s="1"/>
      </tp>
      <tp t="s">
        <v>#N/A N/A</v>
        <stp/>
        <stp>BDH|7323099314987201819</stp>
        <tr r="E104" s="1"/>
      </tp>
      <tp t="s">
        <v>#N/A N/A</v>
        <stp/>
        <stp>BDH|8391356934397936665</stp>
        <tr r="G120" s="1"/>
      </tp>
      <tp t="s">
        <v>#N/A N/A</v>
        <stp/>
        <stp>BDH|2313716112064203907</stp>
        <tr r="D197" s="1"/>
      </tp>
      <tp t="s">
        <v>#N/A N/A</v>
        <stp/>
        <stp>BDH|9718976885248554927</stp>
        <tr r="F198" s="1"/>
      </tp>
      <tp t="s">
        <v>#N/A N/A</v>
        <stp/>
        <stp>BDH|5273919625487717034</stp>
        <tr r="D202" s="1"/>
      </tp>
      <tp t="s">
        <v>#N/A N/A</v>
        <stp/>
        <stp>BDH|1073735687124659315</stp>
        <tr r="E160" s="1"/>
      </tp>
      <tp t="s">
        <v>#N/A N/A</v>
        <stp/>
        <stp>BDH|6568314165259050322</stp>
        <tr r="E84" s="1"/>
      </tp>
      <tp t="s">
        <v>#N/A N/A</v>
        <stp/>
        <stp>BDH|4585155221667239903</stp>
        <tr r="D126" s="1"/>
      </tp>
      <tp t="s">
        <v>#N/A N/A</v>
        <stp/>
        <stp>BDH|9394342901301517206</stp>
        <tr r="F74" s="1"/>
      </tp>
      <tp t="s">
        <v>#N/A N/A</v>
        <stp/>
        <stp>BDH|2203471825189061438</stp>
        <tr r="C97" s="1"/>
      </tp>
      <tp t="b">
        <v>0</v>
        <stp/>
        <stp>BDH|5924997218456000280</stp>
        <tr r="D36" s="1"/>
      </tp>
      <tp t="s">
        <v>#N/A N/A</v>
        <stp/>
        <stp>BDH|4856185383573367701</stp>
        <tr r="D98" s="1"/>
      </tp>
      <tp t="b">
        <v>0</v>
        <stp/>
        <stp>BDH|9469485885695810916</stp>
        <tr r="F58" s="1"/>
      </tp>
      <tp t="s">
        <v>#N/A N/A</v>
        <stp/>
        <stp>BDH|9384217230403370212</stp>
        <tr r="G175" s="1"/>
      </tp>
      <tp t="s">
        <v>#N/A N/A</v>
        <stp/>
        <stp>BDH|3131101336409460126</stp>
        <tr r="F182" s="1"/>
      </tp>
      <tp t="b">
        <v>0</v>
        <stp/>
        <stp>BDH|1994159160087584881</stp>
        <tr r="F31" s="1"/>
      </tp>
      <tp t="s">
        <v>#N/A N/A</v>
        <stp/>
        <stp>BDH|2474134520620305827</stp>
        <tr r="E71" s="1"/>
      </tp>
      <tp t="b">
        <v>0</v>
        <stp/>
        <stp>BDH|4298905049973530381</stp>
        <tr r="D53" s="1"/>
      </tp>
      <tp t="s">
        <v>#N/A N/A</v>
        <stp/>
        <stp>BDH|4857565748059131518</stp>
        <tr r="F250" s="1"/>
      </tp>
      <tp t="b">
        <v>0</v>
        <stp/>
        <stp>BDH|3599562655068549251</stp>
        <tr r="E20" s="1"/>
      </tp>
      <tp t="b">
        <v>0</v>
        <stp/>
        <stp>BDH|5924956202107802215</stp>
        <tr r="H32" s="1"/>
      </tp>
      <tp t="b">
        <v>0</v>
        <stp/>
        <stp>BDH|3265794218014326875</stp>
        <tr r="H45" s="1"/>
      </tp>
      <tp t="s">
        <v>#N/A N/A</v>
        <stp/>
        <stp>BDH|9647917380639566857</stp>
        <tr r="C251" s="1"/>
      </tp>
      <tp t="s">
        <v>#N/A N/A</v>
        <stp/>
        <stp>BDH|6526207697826461213</stp>
        <tr r="E150" s="1"/>
      </tp>
      <tp t="b">
        <v>0</v>
        <stp/>
        <stp>BDH|1831181246834950983</stp>
        <tr r="E42" s="1"/>
      </tp>
      <tp t="s">
        <v>#N/A N/A</v>
        <stp/>
        <stp>BDH|8479459757148734863</stp>
        <tr r="C273" s="1"/>
      </tp>
      <tp t="s">
        <v>#N/A N/A</v>
        <stp/>
        <stp>BDH|2050967602037731571</stp>
        <tr r="F264" s="1"/>
      </tp>
      <tp t="s">
        <v>#N/A N/A</v>
        <stp/>
        <stp>BDH|6255179605668425608</stp>
        <tr r="G218" s="1"/>
      </tp>
      <tp t="s">
        <v>#N/A N/A</v>
        <stp/>
        <stp>BDH|6844525359337452832</stp>
        <tr r="D145" s="1"/>
      </tp>
      <tp t="s">
        <v>#N/A N/A</v>
        <stp/>
        <stp>BDH|4805072987252944750</stp>
        <tr r="G156" s="1"/>
      </tp>
      <tp t="s">
        <v>#N/A N/A</v>
        <stp/>
        <stp>BDH|7199407932080578939</stp>
        <tr r="H77" s="1"/>
      </tp>
      <tp t="s">
        <v>#N/A N/A</v>
        <stp/>
        <stp>BDH|2246374219678069196</stp>
        <tr r="C61" s="1"/>
      </tp>
      <tp t="s">
        <v>#N/A N/A</v>
        <stp/>
        <stp>BDH|9665300974922553626</stp>
        <tr r="E83" s="1"/>
      </tp>
      <tp t="b">
        <v>0</v>
        <stp/>
        <stp>BDH|83151539256931008</stp>
        <tr r="E30" s="1"/>
      </tp>
      <tp t="s">
        <v>#N/A N/A</v>
        <stp/>
        <stp>BDH|13391406793715481</stp>
        <tr r="H139" s="1"/>
      </tp>
      <tp t="s">
        <v>#N/A N/A</v>
        <stp/>
        <stp>BDH|85490968430848630</stp>
        <tr r="G91" s="1"/>
      </tp>
      <tp t="s">
        <v>#N/A N/A</v>
        <stp/>
        <stp>BDH|9876955155077432860</stp>
        <tr r="D200" s="1"/>
      </tp>
      <tp t="s">
        <v>#N/A N/A</v>
        <stp/>
        <stp>BDH|3855873061972485517</stp>
        <tr r="C135" s="1"/>
      </tp>
      <tp t="s">
        <v>#N/A N/A</v>
        <stp/>
        <stp>BDH|7487986836164040313</stp>
        <tr r="H241" s="1"/>
      </tp>
      <tp t="s">
        <v>#N/A N/A</v>
        <stp/>
        <stp>BDH|6333699713982748959</stp>
        <tr r="D268" s="1"/>
      </tp>
      <tp t="s">
        <v>#N/A N/A</v>
        <stp/>
        <stp>BDH|8171074996472953910</stp>
        <tr r="E142" s="1"/>
      </tp>
      <tp t="s">
        <v>#N/A N/A</v>
        <stp/>
        <stp>BDH|8100551199509323763</stp>
        <tr r="H81" s="1"/>
      </tp>
      <tp t="s">
        <v>#N/A N/A</v>
        <stp/>
        <stp>BDH|8050999981825499646</stp>
        <tr r="E95" s="1"/>
      </tp>
      <tp t="b">
        <v>0</v>
        <stp/>
        <stp>BDH|6730587000630233940</stp>
        <tr r="H28" s="1"/>
      </tp>
      <tp t="s">
        <v>#N/A N/A</v>
        <stp/>
        <stp>BDH|6907078575613741853</stp>
        <tr r="F227" s="1"/>
      </tp>
      <tp t="b">
        <v>0</v>
        <stp/>
        <stp>BDH|3018345796852916126</stp>
        <tr r="E44" s="1"/>
      </tp>
      <tp t="s">
        <v>#N/A N/A</v>
        <stp/>
        <stp>BDH|1490219418760795834</stp>
        <tr r="G168" s="1"/>
      </tp>
      <tp t="s">
        <v>#N/A N/A</v>
        <stp/>
        <stp>BDH|6761234496164897335</stp>
        <tr r="G80" s="1"/>
      </tp>
      <tp t="s">
        <v>#N/A N/A</v>
        <stp/>
        <stp>BDH|2311927117734805401</stp>
        <tr r="H212" s="1"/>
      </tp>
      <tp t="s">
        <v>#N/A N/A</v>
        <stp/>
        <stp>BDH|8469765750298981855</stp>
        <tr r="C199" s="1"/>
      </tp>
      <tp t="s">
        <v>#N/A N/A</v>
        <stp/>
        <stp>BDH|1620385508850094891</stp>
        <tr r="G245" s="1"/>
      </tp>
      <tp t="b">
        <v>0</v>
        <stp/>
        <stp>BDH|4541359825986353997</stp>
        <tr r="G26" s="1"/>
      </tp>
      <tp t="s">
        <v>#N/A N/A</v>
        <stp/>
        <stp>BDH|7564473319651610929</stp>
        <tr r="C63" s="1"/>
      </tp>
      <tp t="s">
        <v>#N/A N/A</v>
        <stp/>
        <stp>BDH|1554080576058042471</stp>
        <tr r="E245" s="1"/>
      </tp>
      <tp t="s">
        <v>#N/A N/A</v>
        <stp/>
        <stp>BDH|8726530158656675461</stp>
        <tr r="C257" s="1"/>
      </tp>
      <tp t="s">
        <v>#N/A N/A</v>
        <stp/>
        <stp>BDH|2015717909439786632</stp>
        <tr r="F224" s="1"/>
      </tp>
      <tp t="s">
        <v>#N/A N/A</v>
        <stp/>
        <stp>BDH|2297582706299312434</stp>
        <tr r="H135" s="1"/>
      </tp>
      <tp t="s">
        <v>#N/A N/A</v>
        <stp/>
        <stp>BDH|1173273684335802476</stp>
        <tr r="G196" s="1"/>
      </tp>
      <tp t="s">
        <v>#N/A N/A</v>
        <stp/>
        <stp>BDH|3687391835989120061</stp>
        <tr r="D199" s="1"/>
      </tp>
      <tp t="s">
        <v>#N/A N/A</v>
        <stp/>
        <stp>BDH|8176776055480932075</stp>
        <tr r="G119" s="1"/>
      </tp>
      <tp t="b">
        <v>0</v>
        <stp/>
        <stp>BDH|1900958392219090236</stp>
        <tr r="D16" s="1"/>
      </tp>
      <tp t="s">
        <v>#N/A N/A</v>
        <stp/>
        <stp>BDH|4099261450051376888</stp>
        <tr r="D88" s="1"/>
      </tp>
      <tp t="b">
        <v>0</v>
        <stp/>
        <stp>BDH|9200794244407687741</stp>
        <tr r="F17" s="1"/>
      </tp>
      <tp t="s">
        <v>#N/A N/A</v>
        <stp/>
        <stp>BDH|1396882737360206036</stp>
        <tr r="H236" s="1"/>
      </tp>
      <tp t="b">
        <v>0</v>
        <stp/>
        <stp>BDH|6492455793261824089</stp>
        <tr r="C21" s="1"/>
      </tp>
      <tp t="s">
        <v>#N/A N/A</v>
        <stp/>
        <stp>BDH|8432765028013880409</stp>
        <tr r="H189" s="1"/>
      </tp>
      <tp t="s">
        <v>#N/A N/A</v>
        <stp/>
        <stp>BDH|6577009727856204829</stp>
        <tr r="H166" s="1"/>
      </tp>
      <tp t="s">
        <v>#N/A N/A</v>
        <stp/>
        <stp>BDH|8498302221921739211</stp>
        <tr r="D144" s="1"/>
      </tp>
      <tp t="s">
        <v>#N/A N/A</v>
        <stp/>
        <stp>BDH|8066031604826491404</stp>
        <tr r="C214" s="1"/>
      </tp>
      <tp t="b">
        <v>0</v>
        <stp/>
        <stp>BDH|8024851087487310510</stp>
        <tr r="E12" s="1"/>
      </tp>
      <tp t="s">
        <v>#N/A N/A</v>
        <stp/>
        <stp>BDH|9096197502721200394</stp>
        <tr r="E110" s="1"/>
      </tp>
      <tp t="s">
        <v>#N/A N/A</v>
        <stp/>
        <stp>BDH|7890186850168948196</stp>
        <tr r="H79" s="1"/>
      </tp>
      <tp t="b">
        <v>0</v>
        <stp/>
        <stp>BDH|6909861734002911534</stp>
        <tr r="C27" s="1"/>
      </tp>
      <tp t="s">
        <v>#N/A N/A</v>
        <stp/>
        <stp>BDH|9041220146592305769</stp>
        <tr r="C108" s="1"/>
      </tp>
      <tp t="s">
        <v>#N/A N/A</v>
        <stp/>
        <stp>BDH|9249659726342645566</stp>
        <tr r="H128" s="1"/>
      </tp>
      <tp t="s">
        <v>#N/A N/A</v>
        <stp/>
        <stp>BDH|2456572699867589397</stp>
        <tr r="D253" s="1"/>
      </tp>
      <tp t="s">
        <v>#N/A N/A</v>
        <stp/>
        <stp>BDH|4619528911268504268</stp>
        <tr r="E103" s="1"/>
      </tp>
      <tp t="s">
        <v>#N/A N/A</v>
        <stp/>
        <stp>BDH|3692412402124631954</stp>
        <tr r="C120" s="1"/>
      </tp>
      <tp t="b">
        <v>0</v>
        <stp/>
        <stp>BDH|9487724923524672243</stp>
        <tr r="D47" s="1"/>
      </tp>
      <tp t="s">
        <v>#N/A N/A</v>
        <stp/>
        <stp>BDH|8192282667956257085</stp>
        <tr r="F91" s="1"/>
      </tp>
      <tp t="s">
        <v>#N/A N/A</v>
        <stp/>
        <stp>BDH|3239436076142377809</stp>
        <tr r="E248" s="1"/>
      </tp>
      <tp t="s">
        <v>#N/A N/A</v>
        <stp/>
        <stp>BDH|2820975675156600097</stp>
        <tr r="F228" s="1"/>
      </tp>
      <tp t="s">
        <v>#N/A N/A</v>
        <stp/>
        <stp>BDH|6907897716914181123</stp>
        <tr r="C161" s="1"/>
      </tp>
      <tp t="b">
        <v>0</v>
        <stp/>
        <stp>BDH|2048740616847283952</stp>
        <tr r="C59" s="1"/>
      </tp>
      <tp t="s">
        <v>#N/A N/A</v>
        <stp/>
        <stp>BDH|3994882203910289150</stp>
        <tr r="E258" s="1"/>
      </tp>
      <tp t="s">
        <v>#N/A N/A</v>
        <stp/>
        <stp>BDH|4100213790185697036</stp>
        <tr r="E230" s="1"/>
      </tp>
      <tp t="s">
        <v>#N/A N/A</v>
        <stp/>
        <stp>BDH|4043922867956878787</stp>
        <tr r="D185" s="1"/>
      </tp>
      <tp t="s">
        <v>#N/A N/A</v>
        <stp/>
        <stp>BDH|1832530998845348251</stp>
        <tr r="F119" s="1"/>
      </tp>
      <tp t="b">
        <v>0</v>
        <stp/>
        <stp>BDH|9982943396115717766</stp>
        <tr r="H9" s="1"/>
      </tp>
      <tp t="b">
        <v>0</v>
        <stp/>
        <stp>BDH|6866493652275807919</stp>
        <tr r="C44" s="1"/>
      </tp>
      <tp t="b">
        <v>0</v>
        <stp/>
        <stp>BDH|2996379557729774652</stp>
        <tr r="D11" s="1"/>
      </tp>
      <tp t="s">
        <v>#N/A N/A</v>
        <stp/>
        <stp>BDH|5728911677119857923</stp>
        <tr r="H152" s="1"/>
      </tp>
      <tp t="b">
        <v>0</v>
        <stp/>
        <stp>BDH|3575016495741248088</stp>
        <tr r="D33" s="1"/>
      </tp>
      <tp t="b">
        <v>0</v>
        <stp/>
        <stp>BDH|5545833149992562016</stp>
        <tr r="G22" s="1"/>
      </tp>
      <tp t="s">
        <v>#N/A N/A</v>
        <stp/>
        <stp>BDH|1949810712154651742</stp>
        <tr r="F116" s="1"/>
      </tp>
      <tp t="b">
        <v>0</v>
        <stp/>
        <stp>BDH|2692012639528088268</stp>
        <tr r="F57" s="1"/>
      </tp>
      <tp t="b">
        <v>0</v>
        <stp/>
        <stp>BDH|8629512307515693386</stp>
        <tr r="D42" s="1"/>
      </tp>
      <tp t="b">
        <v>0</v>
        <stp/>
        <stp>BDH|7646443365767012983</stp>
        <tr r="H24" s="1"/>
      </tp>
      <tp t="b">
        <v>0</v>
        <stp/>
        <stp>BDH|9575559156165195789</stp>
        <tr r="F39" s="1"/>
      </tp>
      <tp t="s">
        <v>#N/A N/A</v>
        <stp/>
        <stp>BDH|8902090701301972245</stp>
        <tr r="D128" s="1"/>
      </tp>
      <tp t="s">
        <v>#N/A N/A</v>
        <stp/>
        <stp>BDH|1442933605357643484</stp>
        <tr r="E172" s="1"/>
      </tp>
      <tp t="b">
        <v>0</v>
        <stp/>
        <stp>BDH|4137750512089366086</stp>
        <tr r="E33" s="1"/>
      </tp>
      <tp t="s">
        <v>#N/A N/A</v>
        <stp/>
        <stp>BDH|8539415728600757563</stp>
        <tr r="G181" s="1"/>
      </tp>
      <tp t="s">
        <v>#N/A N/A</v>
        <stp/>
        <stp>BDH|7427103448871553847</stp>
        <tr r="F178" s="1"/>
      </tp>
      <tp t="b">
        <v>0</v>
        <stp/>
        <stp>BDH|5117898423754614004</stp>
        <tr r="D24" s="1"/>
      </tp>
      <tp t="s">
        <v>#N/A N/A</v>
        <stp/>
        <stp>BDH|2389835440306915344</stp>
        <tr r="G162" s="1"/>
      </tp>
      <tp t="s">
        <v>#N/A N/A</v>
        <stp/>
        <stp>BDH|4600579137840434904</stp>
        <tr r="D159" s="1"/>
      </tp>
      <tp t="s">
        <v>#N/A N/A</v>
        <stp/>
        <stp>BDH|9730125617270340221</stp>
        <tr r="D70" s="1"/>
      </tp>
      <tp t="s">
        <v>#N/A N/A</v>
        <stp/>
        <stp>BDH|6611302743168757217</stp>
        <tr r="E208" s="1"/>
      </tp>
      <tp t="s">
        <v>#N/A N/A</v>
        <stp/>
        <stp>BDH|5427993680127902875</stp>
        <tr r="H249" s="1"/>
      </tp>
      <tp t="s">
        <v>#N/A N/A</v>
        <stp/>
        <stp>BDH|1834316888437785653</stp>
        <tr r="D229" s="1"/>
      </tp>
      <tp t="s">
        <v>#N/A N/A</v>
        <stp/>
        <stp>BDH|2650738850923050854</stp>
        <tr r="E255" s="1"/>
      </tp>
      <tp t="s">
        <v>#N/A N/A</v>
        <stp/>
        <stp>BDH|9074926552117420949</stp>
        <tr r="C184" s="1"/>
      </tp>
      <tp t="s">
        <v>#N/A N/A</v>
        <stp/>
        <stp>BDH|8529203174514394226</stp>
        <tr r="D217" s="1"/>
      </tp>
      <tp t="s">
        <v>#N/A N/A</v>
        <stp/>
        <stp>BDH|7652572890470865082</stp>
        <tr r="C83" s="1"/>
      </tp>
      <tp t="s">
        <v>#N/A N/A</v>
        <stp/>
        <stp>BDH|1796672974412320964</stp>
        <tr r="H3" s="1"/>
      </tp>
      <tp t="b">
        <v>0</v>
        <stp/>
        <stp>BDH|9861955997024894649</stp>
        <tr r="H30" s="1"/>
      </tp>
      <tp t="b">
        <v>0</v>
        <stp/>
        <stp>BDH|9611809168325112991</stp>
        <tr r="H59" s="1"/>
      </tp>
      <tp t="s">
        <v>#N/A N/A</v>
        <stp/>
        <stp>BDH|7903933419861007554</stp>
        <tr r="H68" s="1"/>
      </tp>
      <tp t="s">
        <v>#N/A N/A</v>
        <stp/>
        <stp>BDH|3983248423869131195</stp>
        <tr r="H233" s="1"/>
      </tp>
      <tp t="b">
        <v>0</v>
        <stp/>
        <stp>BDH|2116701735844781945</stp>
        <tr r="E38" s="1"/>
      </tp>
      <tp t="s">
        <v>#N/A N/A</v>
        <stp/>
        <stp>BDH|2699805616428718805</stp>
        <tr r="D254" s="1"/>
      </tp>
      <tp t="s">
        <v>#N/A N/A</v>
        <stp/>
        <stp>BDH|9153814054016584959</stp>
        <tr r="E197" s="1"/>
      </tp>
      <tp t="s">
        <v>#N/A N/A</v>
        <stp/>
        <stp>BDH|2008940431247940486</stp>
        <tr r="H91" s="1"/>
      </tp>
      <tp t="b">
        <v>0</v>
        <stp/>
        <stp>BDH|1391309488280626195</stp>
        <tr r="E43" s="1"/>
      </tp>
      <tp t="s">
        <v>#N/A N/A</v>
        <stp/>
        <stp>BDH|4506397934817447885</stp>
        <tr r="H181" s="1"/>
      </tp>
      <tp t="s">
        <v>#N/A N/A</v>
        <stp/>
        <stp>BDH|9920346791918080096</stp>
        <tr r="F126" s="1"/>
      </tp>
      <tp t="b">
        <v>0</v>
        <stp/>
        <stp>BDH|2416404596680076476</stp>
        <tr r="E32" s="1"/>
      </tp>
      <tp t="s">
        <v>#N/A N/A</v>
        <stp/>
        <stp>BDH|7142969882095626867</stp>
        <tr r="H125" s="1"/>
      </tp>
      <tp t="s">
        <v>#N/A N/A</v>
        <stp/>
        <stp>BDH|3189058199130999112</stp>
        <tr r="F161" s="1"/>
      </tp>
      <tp t="s">
        <v>#N/A N/A</v>
        <stp/>
        <stp>BDH|8075278404819804716</stp>
        <tr r="C168" s="1"/>
      </tp>
      <tp t="s">
        <v>#N/A N/A</v>
        <stp/>
        <stp>BDH|3992006651932105035</stp>
        <tr r="E179" s="1"/>
      </tp>
      <tp t="s">
        <v>#N/A N/A</v>
        <stp/>
        <stp>BDH|3333349076385390682</stp>
        <tr r="E273" s="1"/>
      </tp>
      <tp t="s">
        <v>#N/A N/A</v>
        <stp/>
        <stp>BDH|5053034700220946103</stp>
        <tr r="D117" s="1"/>
      </tp>
      <tp t="s">
        <v>#N/A N/A</v>
        <stp/>
        <stp>BDH|6470589471556287654</stp>
        <tr r="E85" s="1"/>
      </tp>
      <tp t="s">
        <v>#N/A N/A</v>
        <stp/>
        <stp>BDH|2066399620067452077</stp>
        <tr r="E141" s="1"/>
      </tp>
      <tp t="b">
        <v>0</v>
        <stp/>
        <stp>BDH|2062663609472756228</stp>
        <tr r="H20" s="1"/>
      </tp>
      <tp t="s">
        <v>#N/A N/A</v>
        <stp/>
        <stp>BDH|7386278880510814971</stp>
        <tr r="D213" s="1"/>
      </tp>
      <tp t="s">
        <v>#N/A N/A</v>
        <stp/>
        <stp>BDH|2782497362197766300</stp>
        <tr r="E125" s="1"/>
      </tp>
      <tp t="s">
        <v>#N/A N/A</v>
        <stp/>
        <stp>BDH|2560044646786808466</stp>
        <tr r="F183" s="1"/>
      </tp>
      <tp t="b">
        <v>0</v>
        <stp/>
        <stp>BDH|3330815791944877258</stp>
        <tr r="E46" s="1"/>
      </tp>
      <tp t="s">
        <v>#N/A N/A</v>
        <stp/>
        <stp>BDH|2906294059132489338</stp>
        <tr r="H265" s="1"/>
      </tp>
      <tp t="b">
        <v>0</v>
        <stp/>
        <stp>BDH|5827390333148524980</stp>
        <tr r="F34" s="1"/>
      </tp>
      <tp t="s">
        <v>#N/A N/A</v>
        <stp/>
        <stp>BDH|3211096706256746157</stp>
        <tr r="C116" s="1"/>
      </tp>
      <tp t="s">
        <v>#N/A N/A</v>
        <stp/>
        <stp>BDH|6210949330081244986</stp>
        <tr r="F187" s="1"/>
      </tp>
      <tp t="b">
        <v>0</v>
        <stp/>
        <stp>BDH|9456109179423582850</stp>
        <tr r="F20" s="1"/>
      </tp>
      <tp t="s">
        <v>#N/A N/A</v>
        <stp/>
        <stp>BDH|7243600245115310496</stp>
        <tr r="H168" s="1"/>
      </tp>
      <tp t="s">
        <v>#N/A N/A</v>
        <stp/>
        <stp>BDH|6900489758642283161</stp>
        <tr r="E151" s="1"/>
      </tp>
      <tp t="s">
        <v>#N/A N/A</v>
        <stp/>
        <stp>BDH|7421722306650496496</stp>
        <tr r="D263" s="1"/>
      </tp>
      <tp t="b">
        <v>0</v>
        <stp/>
        <stp>BDH|6209506813155431388</stp>
        <tr r="G36" s="1"/>
      </tp>
      <tp t="s">
        <v>#N/A N/A</v>
        <stp/>
        <stp>BDH|4618938278968798676</stp>
        <tr r="E204" s="1"/>
      </tp>
      <tp t="s">
        <v>#N/A N/A</v>
        <stp/>
        <stp>BDH|5572141697559127050</stp>
        <tr r="C210" s="1"/>
      </tp>
      <tp t="s">
        <v>#N/A N/A</v>
        <stp/>
        <stp>BDH|3633003682997680802</stp>
        <tr r="D72" s="1"/>
      </tp>
      <tp t="b">
        <v>0</v>
        <stp/>
        <stp>BDH|4563507330311109765</stp>
        <tr r="F22" s="1"/>
      </tp>
      <tp t="b">
        <v>0</v>
        <stp/>
        <stp>BDH|1775440835293052146</stp>
        <tr r="H18" s="1"/>
      </tp>
      <tp t="s">
        <v>#N/A N/A</v>
        <stp/>
        <stp>BDH|1629387174583868200</stp>
        <tr r="C249" s="1"/>
      </tp>
      <tp t="s">
        <v>#N/A N/A</v>
        <stp/>
        <stp>BDH|4388280303362972037</stp>
        <tr r="D130" s="1"/>
      </tp>
      <tp t="b">
        <v>0</v>
        <stp/>
        <stp>BDH|4538092225844863635</stp>
        <tr r="G59" s="1"/>
      </tp>
      <tp t="s">
        <v>#N/A N/A</v>
        <stp/>
        <stp>BDH|7119605995015075970</stp>
        <tr r="D157" s="1"/>
      </tp>
      <tp t="s">
        <v>#N/A N/A</v>
        <stp/>
        <stp>BDH|5765431547287251623</stp>
        <tr r="D224" s="1"/>
      </tp>
      <tp t="s">
        <v>#N/A N/A</v>
        <stp/>
        <stp>BDH|4317726254495618700</stp>
        <tr r="D91" s="1"/>
      </tp>
      <tp t="s">
        <v>#N/A N/A</v>
        <stp/>
        <stp>BDH|6034064991838722332</stp>
        <tr r="H191" s="1"/>
      </tp>
      <tp t="b">
        <v>0</v>
        <stp/>
        <stp>BDH|1307720301390841282</stp>
        <tr r="G35" s="1"/>
      </tp>
      <tp t="s">
        <v>#N/A N/A</v>
        <stp/>
        <stp>BDH|3383131637446431334</stp>
        <tr r="H160" s="1"/>
      </tp>
      <tp t="s">
        <v>#N/A N/A</v>
        <stp/>
        <stp>BDH|6092344504888122900</stp>
        <tr r="D264" s="1"/>
      </tp>
      <tp t="s">
        <v>#N/A N/A</v>
        <stp/>
        <stp>BDH|2088502423586791750</stp>
        <tr r="F193" s="1"/>
      </tp>
      <tp t="s">
        <v>#N/A N/A</v>
        <stp/>
        <stp>BDH|5590780544680649299</stp>
        <tr r="D223" s="1"/>
      </tp>
      <tp t="s">
        <v>#N/A N/A</v>
        <stp/>
        <stp>BDH|8604750165009502454</stp>
        <tr r="E166" s="1"/>
      </tp>
      <tp t="s">
        <v>#N/A N/A</v>
        <stp/>
        <stp>BDH|1679221543524238739</stp>
        <tr r="G238" s="1"/>
      </tp>
      <tp t="s">
        <v>#N/A N/A</v>
        <stp/>
        <stp>BDH|7337176087348251279</stp>
        <tr r="F163" s="1"/>
      </tp>
      <tp t="b">
        <v>0</v>
        <stp/>
        <stp>BDH|4112626764800891081</stp>
        <tr r="C57" s="1"/>
      </tp>
      <tp t="b">
        <v>0</v>
        <stp/>
        <stp>BDH|5603353476011000424</stp>
        <tr r="H6" s="1"/>
      </tp>
      <tp t="b">
        <v>0</v>
        <stp/>
        <stp>BDH|2254414628044999465</stp>
        <tr r="D30" s="1"/>
      </tp>
      <tp t="b">
        <v>0</v>
        <stp/>
        <stp>BDH|6705995195521876366</stp>
        <tr r="D59" s="1"/>
      </tp>
      <tp t="s">
        <v>#N/A N/A</v>
        <stp/>
        <stp>BDH|5130158658332918709</stp>
        <tr r="G88" s="1"/>
      </tp>
      <tp t="s">
        <v>#N/A N/A</v>
        <stp/>
        <stp>BDH|4524253677664799158</stp>
        <tr r="F69" s="1"/>
      </tp>
      <tp t="s">
        <v>#N/A N/A</v>
        <stp/>
        <stp>BDH|9730955356677618781</stp>
        <tr r="F236" s="1"/>
      </tp>
      <tp t="b">
        <v>0</v>
        <stp/>
        <stp>BDH|9545639796797290483</stp>
        <tr r="D8" s="1"/>
      </tp>
      <tp t="b">
        <v>0</v>
        <stp/>
        <stp>BDH|7719496733121266457</stp>
        <tr r="G42" s="1"/>
      </tp>
      <tp t="s">
        <v>#N/A N/A</v>
        <stp/>
        <stp>BDH|8211121369869768344</stp>
        <tr r="F210" s="1"/>
      </tp>
      <tp t="b">
        <v>0</v>
        <stp/>
        <stp>BDH|3434399757017850783</stp>
        <tr r="C28" s="1"/>
      </tp>
      <tp t="s">
        <v>#N/A N/A</v>
        <stp/>
        <stp>BDH|5904379753192186470</stp>
        <tr r="D77" s="1"/>
      </tp>
      <tp t="s">
        <v>#N/A N/A</v>
        <stp/>
        <stp>BDH|3700356029292611568</stp>
        <tr r="C213" s="1"/>
      </tp>
      <tp t="s">
        <v>#N/A N/A</v>
        <stp/>
        <stp>BDH|4247153900514733486</stp>
        <tr r="F113" s="1"/>
      </tp>
      <tp t="s">
        <v>#N/A N/A</v>
        <stp/>
        <stp>BDH|5877714864797435611</stp>
        <tr r="E86" s="1"/>
      </tp>
      <tp t="s">
        <v>#N/A N/A</v>
        <stp/>
        <stp>BDH|4288294418604287683</stp>
        <tr r="G99" s="1"/>
      </tp>
      <tp t="s">
        <v>#N/A N/A</v>
        <stp/>
        <stp>BDH|5099878058118218543</stp>
        <tr r="G167" s="1"/>
      </tp>
      <tp t="s">
        <v>#N/A N/A</v>
        <stp/>
        <stp>BDH|9715232283804662288</stp>
        <tr r="G233" s="1"/>
      </tp>
      <tp t="s">
        <v>#N/A N/A</v>
        <stp/>
        <stp>BDH|6470006275577852304</stp>
        <tr r="G127" s="1"/>
      </tp>
      <tp t="s">
        <v>#N/A N/A</v>
        <stp/>
        <stp>BDH|4330603657635598780</stp>
        <tr r="G76" s="1"/>
      </tp>
      <tp t="s">
        <v>#N/A N/A</v>
        <stp/>
        <stp>BDH|8181302283797875141</stp>
        <tr r="C136" s="1"/>
      </tp>
      <tp t="s">
        <v>#N/A N/A</v>
        <stp/>
        <stp>BDH|1953234472749593823</stp>
        <tr r="E137" s="1"/>
      </tp>
      <tp t="s">
        <v>#N/A N/A</v>
        <stp/>
        <stp>BDH|4384037820903847040</stp>
        <tr r="F168" s="1"/>
      </tp>
      <tp t="s">
        <v>#N/A N/A</v>
        <stp/>
        <stp>BDH|6925637860843305055</stp>
        <tr r="F273" s="1"/>
      </tp>
      <tp t="s">
        <v>#N/A N/A</v>
        <stp/>
        <stp>BDH|5000089567236201010</stp>
        <tr r="D119" s="1"/>
      </tp>
      <tp t="b">
        <v>0</v>
        <stp/>
        <stp>BDH|7310433349066095456</stp>
        <tr r="G44" s="1"/>
      </tp>
      <tp t="s">
        <v>#N/A N/A</v>
        <stp/>
        <stp>BDH|6114892795237480548</stp>
        <tr r="D143" s="1"/>
      </tp>
      <tp t="s">
        <v>#N/A N/A</v>
        <stp/>
        <stp>BDH|1771743547234844316</stp>
        <tr r="G144" s="1"/>
      </tp>
      <tp t="s">
        <v>#N/A N/A</v>
        <stp/>
        <stp>BDH|6409778973541616249</stp>
        <tr r="H138" s="1"/>
      </tp>
      <tp t="s">
        <v>#N/A N/A</v>
        <stp/>
        <stp>BDH|1876402904640624084</stp>
        <tr r="G248" s="1"/>
      </tp>
      <tp t="s">
        <v>#N/A N/A</v>
        <stp/>
        <stp>BDH|6968871726751863823</stp>
        <tr r="D83" s="1"/>
      </tp>
      <tp t="s">
        <v>#N/A N/A</v>
        <stp/>
        <stp>BDH|7022294317338878946</stp>
        <tr r="C164" s="1"/>
      </tp>
      <tp t="b">
        <v>0</v>
        <stp/>
        <stp>BDH|4540142120213206113</stp>
        <tr r="G17" s="1"/>
      </tp>
      <tp t="s">
        <v>#N/A N/A</v>
        <stp/>
        <stp>BDH|3421624814533117215</stp>
        <tr r="F124" s="1"/>
      </tp>
      <tp t="s">
        <v>#N/A N/A</v>
        <stp/>
        <stp>BDH|3016320833391586767</stp>
        <tr r="D82" s="1"/>
      </tp>
      <tp t="b">
        <v>0</v>
        <stp/>
        <stp>BDH|8455341777271582800</stp>
        <tr r="C42" s="1"/>
      </tp>
      <tp t="s">
        <v>#N/A N/A</v>
        <stp/>
        <stp>BDH|8892827371576082489</stp>
        <tr r="D221" s="1"/>
      </tp>
      <tp t="b">
        <v>0</v>
        <stp/>
        <stp>BDH|1759104305607146232</stp>
        <tr r="H42" s="1"/>
      </tp>
      <tp t="s">
        <v>#N/A N/A</v>
        <stp/>
        <stp>BDH|1028707814701619332</stp>
        <tr r="D204" s="1"/>
      </tp>
      <tp t="b">
        <v>0</v>
        <stp/>
        <stp>BDH|9177926136932131454</stp>
        <tr r="C33" s="1"/>
      </tp>
      <tp t="s">
        <v>#N/A N/A</v>
        <stp/>
        <stp>BDH|9540231493346782142</stp>
        <tr r="E99" s="1"/>
      </tp>
      <tp t="s">
        <v>#N/A N/A</v>
        <stp/>
        <stp>BDH|3877281267720687277</stp>
        <tr r="D164" s="1"/>
      </tp>
      <tp t="s">
        <v>#N/A N/A</v>
        <stp/>
        <stp>BDH|1069426907117348717</stp>
        <tr r="H71" s="1"/>
      </tp>
      <tp t="s">
        <v>#N/A N/A</v>
        <stp/>
        <stp>BDH|1279562383658741172</stp>
        <tr r="E217" s="1"/>
      </tp>
      <tp t="s">
        <v>#N/A N/A</v>
        <stp/>
        <stp>BDH|8301607265019688476</stp>
        <tr r="F154" s="1"/>
      </tp>
      <tp t="b">
        <v>0</v>
        <stp/>
        <stp>BDH|1285388648176564534</stp>
        <tr r="C12" s="1"/>
      </tp>
      <tp t="s">
        <v>#N/A N/A</v>
        <stp/>
        <stp>BDH|5889635066752828214</stp>
        <tr r="H222" s="1"/>
      </tp>
      <tp t="s">
        <v>#N/A N/A</v>
        <stp/>
        <stp>BDH|8806894284974635972</stp>
        <tr r="D203" s="1"/>
      </tp>
      <tp t="s">
        <v>#N/A N/A</v>
        <stp/>
        <stp>BDH|8566434064927734808</stp>
        <tr r="G75" s="1"/>
      </tp>
      <tp t="s">
        <v>#N/A N/A</v>
        <stp/>
        <stp>BDH|1592873268599989365</stp>
        <tr r="E268" s="1"/>
      </tp>
      <tp t="s">
        <v>#N/A N/A</v>
        <stp/>
        <stp>BDH|1609271227393142724</stp>
        <tr r="F192" s="1"/>
      </tp>
      <tp t="s">
        <v>#N/A N/A</v>
        <stp/>
        <stp>BDH|4725411665606077567</stp>
        <tr r="F265" s="1"/>
      </tp>
      <tp t="s">
        <v>#N/A N/A</v>
        <stp/>
        <stp>BDH|7310042473546630370</stp>
        <tr r="E246" s="1"/>
      </tp>
      <tp t="b">
        <v>0</v>
        <stp/>
        <stp>BDH|7065972861905098832</stp>
        <tr r="E11" s="1"/>
      </tp>
      <tp t="b">
        <v>0</v>
        <stp/>
        <stp>BDH|9243960589115161899</stp>
        <tr r="D55" s="1"/>
      </tp>
      <tp t="b">
        <v>0</v>
        <stp/>
        <stp>BDH|5459814282142860156</stp>
        <tr r="D45" s="1"/>
      </tp>
      <tp t="s">
        <v>#N/A N/A</v>
        <stp/>
        <stp>BDH|8617548303063874833</stp>
        <tr r="F173" s="1"/>
      </tp>
      <tp t="s">
        <v>#N/A N/A</v>
        <stp/>
        <stp>BDH|2995026295459050443</stp>
        <tr r="D258" s="1"/>
      </tp>
      <tp t="s">
        <v>#N/A N/A</v>
        <stp/>
        <stp>BDH|2102920288562674762</stp>
        <tr r="C241" s="1"/>
      </tp>
      <tp t="s">
        <v>#N/A N/A</v>
        <stp/>
        <stp>BDH|8806886629211368512</stp>
        <tr r="H219" s="1"/>
      </tp>
      <tp t="s">
        <v>#N/A N/A</v>
        <stp/>
        <stp>BDH|2055123925354901353</stp>
        <tr r="H70" s="1"/>
      </tp>
      <tp t="s">
        <v>#N/A N/A</v>
        <stp/>
        <stp>BDH|1178748688468297073</stp>
        <tr r="H149" s="1"/>
      </tp>
      <tp t="b">
        <v>0</v>
        <stp/>
        <stp>BDH|4727997615508727241</stp>
        <tr r="E60" s="1"/>
      </tp>
      <tp t="s">
        <v>#N/A N/A</v>
        <stp/>
        <stp>BDH|5858684127483738483</stp>
        <tr r="G160" s="1"/>
      </tp>
      <tp t="s">
        <v>#N/A N/A</v>
        <stp/>
        <stp>BDH|8646205405699955529</stp>
        <tr r="H175" s="1"/>
      </tp>
      <tp t="s">
        <v>#N/A N/A</v>
        <stp/>
        <stp>BDH|5636343952301852413</stp>
        <tr r="E65" s="1"/>
      </tp>
      <tp t="s">
        <v>#N/A N/A</v>
        <stp/>
        <stp>BDH|4807190050355892307</stp>
        <tr r="C216" s="1"/>
      </tp>
      <tp t="s">
        <v>#N/A N/A</v>
        <stp/>
        <stp>BDH|9843805690356867898</stp>
        <tr r="H244" s="1"/>
      </tp>
      <tp t="s">
        <v>#N/A N/A</v>
        <stp/>
        <stp>BDH|4882083868725338123</stp>
        <tr r="F181" s="1"/>
      </tp>
      <tp t="s">
        <v>#N/A N/A</v>
        <stp/>
        <stp>BDH|7275700297716357987</stp>
        <tr r="G225" s="1"/>
      </tp>
      <tp t="b">
        <v>0</v>
        <stp/>
        <stp>BDH|5996685614980354484</stp>
        <tr r="F37" s="1"/>
      </tp>
      <tp t="s">
        <v>#N/A N/A</v>
        <stp/>
        <stp>BDH|6816014446345424153</stp>
        <tr r="D248" s="1"/>
      </tp>
      <tp t="s">
        <v>#N/A N/A</v>
        <stp/>
        <stp>BDH|9870881424192886728</stp>
        <tr r="G97" s="1"/>
      </tp>
      <tp t="s">
        <v>#N/A N/A</v>
        <stp/>
        <stp>BDH|2828515875337377119</stp>
        <tr r="E211" s="1"/>
      </tp>
      <tp t="b">
        <v>0</v>
        <stp/>
        <stp>BDH|6099978158108474443</stp>
        <tr r="G8" s="1"/>
      </tp>
      <tp t="s">
        <v>#N/A N/A</v>
        <stp/>
        <stp>BDH|7967155102225132530</stp>
        <tr r="F88" s="1"/>
      </tp>
      <tp t="s">
        <v>#N/A N/A</v>
        <stp/>
        <stp>BDH|5182097075562359626</stp>
        <tr r="F266" s="1"/>
      </tp>
      <tp t="s">
        <v>#N/A N/A</v>
        <stp/>
        <stp>BDH|1537289246480759100</stp>
        <tr r="H182" s="1"/>
      </tp>
      <tp t="s">
        <v>#N/A N/A</v>
        <stp/>
        <stp>BDH|7976231336594717462</stp>
        <tr r="G138" s="1"/>
      </tp>
      <tp t="b">
        <v>0</v>
        <stp/>
        <stp>BDH|1187301752296985777</stp>
        <tr r="H8" s="1"/>
      </tp>
      <tp t="s">
        <v>#N/A N/A</v>
        <stp/>
        <stp>BDH|9143723375557220898</stp>
        <tr r="G173" s="1"/>
      </tp>
      <tp t="s">
        <v>#N/A N/A</v>
        <stp/>
        <stp>BDH|7414785822883738745</stp>
        <tr r="H89" s="1"/>
      </tp>
      <tp t="b">
        <v>0</v>
        <stp/>
        <stp>BDH|4533554123657485259</stp>
        <tr r="C37" s="1"/>
      </tp>
      <tp t="s">
        <v>#N/A N/A</v>
        <stp/>
        <stp>BDH|6776024895628484162</stp>
        <tr r="D133" s="1"/>
      </tp>
      <tp t="s">
        <v>#N/A N/A</v>
        <stp/>
        <stp>BDH|3983491177846771034</stp>
        <tr r="G263" s="1"/>
      </tp>
      <tp t="s">
        <v>#N/A N/A</v>
        <stp/>
        <stp>BDH|7131810695102044261</stp>
        <tr r="F106" s="1"/>
      </tp>
      <tp t="s">
        <v>#N/A N/A</v>
        <stp/>
        <stp>BDH|2272032075694792700</stp>
        <tr r="C64" s="1"/>
      </tp>
      <tp t="s">
        <v>#N/A N/A</v>
        <stp/>
        <stp>BDH|9111862416663989588</stp>
        <tr r="H173" s="1"/>
      </tp>
      <tp t="s">
        <v>#N/A N/A</v>
        <stp/>
        <stp>BDH|8572371108394821921</stp>
        <tr r="F89" s="1"/>
      </tp>
      <tp t="b">
        <v>0</v>
        <stp/>
        <stp>BDH|3476930586787891390</stp>
        <tr r="H46" s="1"/>
      </tp>
      <tp t="s">
        <v>#N/A N/A</v>
        <stp/>
        <stp>BDH|1590219464443334025</stp>
        <tr r="D120" s="1"/>
      </tp>
      <tp t="s">
        <v>#N/A N/A</v>
        <stp/>
        <stp>BDH|2239160955779237923</stp>
        <tr r="D256" s="1"/>
      </tp>
      <tp t="s">
        <v>#N/A N/A</v>
        <stp/>
        <stp>BDH|5353263321303733054</stp>
        <tr r="F97" s="1"/>
      </tp>
      <tp t="b">
        <v>0</v>
        <stp/>
        <stp>BDH|9668331032297795868</stp>
        <tr r="G28" s="1"/>
      </tp>
      <tp t="s">
        <v>#N/A N/A</v>
        <stp/>
        <stp>BDH|3509215223700855590</stp>
        <tr r="F136" s="1"/>
      </tp>
      <tp t="s">
        <v>#N/A N/A</v>
        <stp/>
        <stp>BDH|9002567188822151092</stp>
        <tr r="D149" s="1"/>
      </tp>
      <tp t="s">
        <v>#N/A N/A</v>
        <stp/>
        <stp>BDH|1357734845806220211</stp>
        <tr r="D113" s="1"/>
      </tp>
      <tp t="s">
        <v>#N/A N/A</v>
        <stp/>
        <stp>BDH|9724389532129209688</stp>
        <tr r="E126" s="1"/>
      </tp>
      <tp t="s">
        <v>#N/A N/A</v>
        <stp/>
        <stp>BDH|2655151234333649569</stp>
        <tr r="G188" s="1"/>
      </tp>
      <tp t="b">
        <v>0</v>
        <stp/>
        <stp>BDH|5900014345970144789</stp>
        <tr r="C10" s="1"/>
      </tp>
      <tp t="b">
        <v>0</v>
        <stp/>
        <stp>BDH|2143239075430098132</stp>
        <tr r="E19" s="1"/>
      </tp>
      <tp t="s">
        <v>#N/A N/A</v>
        <stp/>
        <stp>BDH|2974991475078354225</stp>
        <tr r="F261" s="1"/>
      </tp>
      <tp t="s">
        <v>#N/A N/A</v>
        <stp/>
        <stp>BDH|9435139322409515549</stp>
        <tr r="D271" s="1"/>
      </tp>
      <tp t="s">
        <v>#N/A N/A</v>
        <stp/>
        <stp>BDH|9177564597065234669</stp>
        <tr r="D227" s="1"/>
      </tp>
      <tp t="s">
        <v>#N/A N/A</v>
        <stp/>
        <stp>BDH|7014013805824526553</stp>
        <tr r="F252" s="1"/>
      </tp>
      <tp t="b">
        <v>0</v>
        <stp/>
        <stp>BDH|9162966152964775763</stp>
        <tr r="G15" s="1"/>
      </tp>
      <tp t="s">
        <v>#N/A N/A</v>
        <stp/>
        <stp>BDH|7050224216304775664</stp>
        <tr r="F175" s="1"/>
      </tp>
      <tp t="s">
        <v>#N/A N/A</v>
        <stp/>
        <stp>BDH|1721470914070817293</stp>
        <tr r="E81" s="1"/>
      </tp>
      <tp t="s">
        <v>#N/A N/A</v>
        <stp/>
        <stp>BDH|9106253077912616806</stp>
        <tr r="G272" s="1"/>
      </tp>
      <tp t="s">
        <v>#N/A N/A</v>
        <stp/>
        <stp>BDH|1315562145163444518</stp>
        <tr r="H61" s="1"/>
      </tp>
      <tp t="s">
        <v>#N/A N/A</v>
        <stp/>
        <stp>BDH|3867392114731660794</stp>
        <tr r="D226" s="1"/>
      </tp>
      <tp t="s">
        <v>#N/A N/A</v>
        <stp/>
        <stp>BDH|6221465030211754796</stp>
        <tr r="F133" s="1"/>
      </tp>
      <tp t="s">
        <v>#N/A N/A</v>
        <stp/>
        <stp>BDH|1582976468271626867</stp>
        <tr r="C90" s="1"/>
      </tp>
      <tp t="s">
        <v>#N/A N/A</v>
        <stp/>
        <stp>BDH|8394516460948838409</stp>
        <tr r="F211" s="1"/>
      </tp>
      <tp t="s">
        <v>#N/A N/A</v>
        <stp/>
        <stp>BDH|1456075670479880812</stp>
        <tr r="E188" s="1"/>
      </tp>
      <tp t="s">
        <v>#N/A N/A</v>
        <stp/>
        <stp>BDH|2648198579082936179</stp>
        <tr r="H73" s="1"/>
      </tp>
      <tp t="s">
        <v>#N/A N/A</v>
        <stp/>
        <stp>BDH|2351269178974194444</stp>
        <tr r="G84" s="1"/>
      </tp>
      <tp t="s">
        <v>#N/A N/A</v>
        <stp/>
        <stp>BDH|2425186837962261516</stp>
        <tr r="G234" s="1"/>
      </tp>
      <tp t="s">
        <v>#N/A N/A</v>
        <stp/>
        <stp>BDH|3136680102034633645</stp>
        <tr r="C222" s="1"/>
      </tp>
      <tp t="s">
        <v>#N/A N/A</v>
        <stp/>
        <stp>BDH|9584322809578633515</stp>
        <tr r="H270" s="1"/>
      </tp>
      <tp t="b">
        <v>0</v>
        <stp/>
        <stp>BDH|4111483524995571012</stp>
        <tr r="F12" s="1"/>
      </tp>
      <tp t="s">
        <v>#N/A N/A</v>
        <stp/>
        <stp>BDH|8259772956335506885</stp>
        <tr r="C245" s="1"/>
      </tp>
      <tp t="s">
        <v>#N/A N/A</v>
        <stp/>
        <stp>BDH|8474943233683958644</stp>
        <tr r="G239" s="1"/>
      </tp>
      <tp t="s">
        <v>#N/A N/A</v>
        <stp/>
        <stp>BDH|5855798150063689397</stp>
        <tr r="D218" s="1"/>
      </tp>
      <tp t="s">
        <v>#N/A N/A</v>
        <stp/>
        <stp>BDH|2406757274524201198</stp>
        <tr r="H158" s="1"/>
      </tp>
      <tp t="b">
        <v>0</v>
        <stp/>
        <stp>BDH|2899740582889247337</stp>
        <tr r="H49" s="1"/>
      </tp>
      <tp t="s">
        <v>#N/A N/A</v>
        <stp/>
        <stp>BDH|7444089817536698727</stp>
        <tr r="G206" s="1"/>
      </tp>
      <tp t="s">
        <v>#N/A N/A</v>
        <stp/>
        <stp>BDH|4171844993470027299</stp>
        <tr r="C194" s="1"/>
      </tp>
      <tp t="s">
        <v>#N/A N/A</v>
        <stp/>
        <stp>BDH|2626345277461990034</stp>
        <tr r="G117" s="1"/>
      </tp>
      <tp t="s">
        <v>#N/A Requesting Data...3704469842</v>
        <stp/>
        <stp>BDP|9629082144219633300</stp>
        <tr r="G2" s="1"/>
      </tp>
      <tp t="s">
        <v>#N/A N/A</v>
        <stp/>
        <stp>BDH|4572990755747561802</stp>
        <tr r="E119" s="1"/>
      </tp>
      <tp t="s">
        <v>#N/A N/A</v>
        <stp/>
        <stp>BDH|1800403826581408162</stp>
        <tr r="E91" s="1"/>
      </tp>
      <tp t="s">
        <v>#N/A N/A</v>
        <stp/>
        <stp>BDH|3158788107754441769</stp>
        <tr r="C179" s="1"/>
      </tp>
      <tp t="s">
        <v>#N/A N/A</v>
        <stp/>
        <stp>BDH|3989900607764491961</stp>
        <tr r="C148" s="1"/>
      </tp>
      <tp t="s">
        <v>#N/A N/A</v>
        <stp/>
        <stp>BDH|1068184502642127561</stp>
        <tr r="D207" s="1"/>
      </tp>
      <tp t="s">
        <v>#N/A N/A</v>
        <stp/>
        <stp>BDH|1732083775740944111</stp>
        <tr r="G207" s="1"/>
      </tp>
      <tp t="b">
        <v>0</v>
        <stp/>
        <stp>BDH|2563110811735526021</stp>
        <tr r="F35" s="1"/>
      </tp>
      <tp t="s">
        <v>#N/A N/A</v>
        <stp/>
        <stp>BDH|2610163880628344416</stp>
        <tr r="D216" s="1"/>
      </tp>
      <tp t="s">
        <v>#N/A N/A</v>
        <stp/>
        <stp>BDH|8974318968762157837</stp>
        <tr r="C79" s="1"/>
      </tp>
      <tp t="s">
        <v>#N/A N/A</v>
        <stp/>
        <stp>BDH|7581419375402605144</stp>
        <tr r="E114" s="1"/>
      </tp>
      <tp t="b">
        <v>0</v>
        <stp/>
        <stp>BDH|8222813277365345546</stp>
        <tr r="F19" s="1"/>
      </tp>
      <tp t="s">
        <v>#N/A N/A</v>
        <stp/>
        <stp>BDH|7322913248459951403</stp>
        <tr r="E225" s="1"/>
      </tp>
      <tp t="s">
        <v>#N/A N/A</v>
        <stp/>
        <stp>BDH|3403575920036291527</stp>
        <tr r="E115" s="1"/>
      </tp>
      <tp t="s">
        <v>#N/A N/A</v>
        <stp/>
        <stp>BDH|2333313924344573035</stp>
        <tr r="G109" s="1"/>
      </tp>
      <tp t="s">
        <v>#N/A N/A</v>
        <stp/>
        <stp>BDH|7355701317403791539</stp>
        <tr r="F117" s="1"/>
      </tp>
      <tp t="s">
        <v>#N/A N/A</v>
        <stp/>
        <stp>BDH|3599935299181683598</stp>
        <tr r="H95" s="1"/>
      </tp>
      <tp t="s">
        <v>#N/A N/A</v>
        <stp/>
        <stp>BDH|2299503222782093008</stp>
        <tr r="D74" s="1"/>
      </tp>
      <tp t="s">
        <v>#N/A N/A</v>
        <stp/>
        <stp>BDH|1906185176673181378</stp>
        <tr r="F180" s="1"/>
      </tp>
      <tp t="s">
        <v>#N/A N/A</v>
        <stp/>
        <stp>BDH|9680061045632592818</stp>
        <tr r="E139" s="1"/>
      </tp>
      <tp t="s">
        <v>#N/A N/A</v>
        <stp/>
        <stp>BDH|8966354066443930956</stp>
        <tr r="F77" s="1"/>
      </tp>
      <tp t="s">
        <v>#N/A N/A</v>
        <stp/>
        <stp>BDH|9958365277078951273</stp>
        <tr r="H232" s="1"/>
      </tp>
      <tp t="s">
        <v>#N/A N/A</v>
        <stp/>
        <stp>BDH|4037555250162005127</stp>
        <tr r="F188" s="1"/>
      </tp>
      <tp t="s">
        <v>#N/A N/A</v>
        <stp/>
        <stp>BDH|3143316377010685061</stp>
        <tr r="H197" s="1"/>
      </tp>
      <tp t="s">
        <v>#N/A N/A</v>
        <stp/>
        <stp>BDH|6997643764506810762</stp>
        <tr r="F242" s="1"/>
      </tp>
      <tp t="b">
        <v>0</v>
        <stp/>
        <stp>BDH|5511631675213221050</stp>
        <tr r="H31" s="1"/>
      </tp>
      <tp t="s">
        <v>#N/A N/A</v>
        <stp/>
        <stp>BDH|6273902588398849861</stp>
        <tr r="H205" s="1"/>
      </tp>
      <tp t="b">
        <v>0</v>
        <stp/>
        <stp>BDH|3775044143672612226</stp>
        <tr r="H15" s="1"/>
      </tp>
      <tp t="s">
        <v>#N/A N/A</v>
        <stp/>
        <stp>BDH|6727467241121081043</stp>
        <tr r="F147" s="1"/>
      </tp>
      <tp t="s">
        <v>#N/A N/A</v>
        <stp/>
        <stp>BDH|8430775746815670976</stp>
        <tr r="E82" s="1"/>
      </tp>
      <tp t="s">
        <v>#N/A N/A</v>
        <stp/>
        <stp>BDH|1030136647420134303</stp>
        <tr r="G161" s="1"/>
      </tp>
      <tp t="s">
        <v>#N/A N/A</v>
        <stp/>
        <stp>BDH|3285374029050998506</stp>
        <tr r="F194" s="1"/>
      </tp>
      <tp t="s">
        <v>#N/A N/A</v>
        <stp/>
        <stp>BDH|9538775359789671580</stp>
        <tr r="F85" s="1"/>
      </tp>
      <tp t="s">
        <v>#N/A N/A</v>
        <stp/>
        <stp>BDH|8622299239659893045</stp>
        <tr r="D89" s="1"/>
      </tp>
      <tp t="s">
        <v>#N/A N/A</v>
        <stp/>
        <stp>BDH|1203343611722852154</stp>
        <tr r="E97" s="1"/>
      </tp>
      <tp t="s">
        <v>#N/A N/A</v>
        <stp/>
        <stp>BDH|5332372422097488384</stp>
        <tr r="G231" s="1"/>
      </tp>
      <tp t="s">
        <v>#N/A N/A</v>
        <stp/>
        <stp>BDH|9902070765407023818</stp>
        <tr r="C73" s="1"/>
      </tp>
      <tp t="s">
        <v>#N/A N/A</v>
        <stp/>
        <stp>BDH|1889846561709567621</stp>
        <tr r="E251" s="1"/>
      </tp>
      <tp t="s">
        <v>#N/A Requesting Data...4230125411</v>
        <stp/>
        <stp>BDP|7663340710686991307</stp>
        <tr r="H2" s="1"/>
      </tp>
      <tp t="s">
        <v>#N/A N/A</v>
        <stp/>
        <stp>BDH|3170692742200914184</stp>
        <tr r="G139" s="1"/>
      </tp>
      <tp t="b">
        <v>0</v>
        <stp/>
        <stp>BDH|6786328502780861549</stp>
        <tr r="G24" s="1"/>
      </tp>
      <tp t="b">
        <v>0</v>
        <stp/>
        <stp>BDH|8085227959667725870</stp>
        <tr r="E27" s="1"/>
      </tp>
      <tp t="s">
        <v>#N/A N/A</v>
        <stp/>
        <stp>BDH|9414586406295690970</stp>
        <tr r="D151" s="1"/>
      </tp>
      <tp t="s">
        <v>#N/A N/A</v>
        <stp/>
        <stp>BDH|6604823007328976625</stp>
        <tr r="F142" s="1"/>
      </tp>
      <tp t="s">
        <v>#N/A N/A</v>
        <stp/>
        <stp>BDH|4889219876034522529</stp>
        <tr r="E128" s="1"/>
      </tp>
      <tp t="b">
        <v>0</v>
        <stp/>
        <stp>BDH|9088444619365050956</stp>
        <tr r="G45" s="1"/>
      </tp>
      <tp t="b">
        <v>0</v>
        <stp/>
        <stp>BDH|6604728528933791029</stp>
        <tr r="D9" s="1"/>
      </tp>
      <tp t="s">
        <v>#N/A N/A</v>
        <stp/>
        <stp>BDH|4317068359152222370</stp>
        <tr r="H146" s="1"/>
      </tp>
      <tp t="s">
        <v>#N/A N/A</v>
        <stp/>
        <stp>BDH|9968825923846696502</stp>
        <tr r="F90" s="1"/>
      </tp>
      <tp t="b">
        <v>0</v>
        <stp/>
        <stp>BDH|5691185622334744259</stp>
        <tr r="E22" s="1"/>
      </tp>
      <tp t="s">
        <v>#N/A N/A</v>
        <stp/>
        <stp>BDH|3934473206122780509</stp>
        <tr r="G106" s="1"/>
      </tp>
      <tp t="s">
        <v>#N/A N/A</v>
        <stp/>
        <stp>BDH|1830053657635158146</stp>
        <tr r="F257" s="1"/>
      </tp>
      <tp t="s">
        <v>#N/A N/A</v>
        <stp/>
        <stp>BDH|2612186235811794131</stp>
        <tr r="F190" s="1"/>
      </tp>
      <tp t="s">
        <v>#N/A N/A</v>
        <stp/>
        <stp>BDH|6969007568873885367</stp>
        <tr r="H267" s="1"/>
      </tp>
      <tp t="s">
        <v>#N/A N/A</v>
        <stp/>
        <stp>BDH|5109168173084250794</stp>
        <tr r="G152" s="1"/>
      </tp>
      <tp t="b">
        <v>0</v>
        <stp/>
        <stp>BDH|8217088956484890987</stp>
        <tr r="F23" s="1"/>
      </tp>
      <tp t="s">
        <v>#N/A N/A</v>
        <stp/>
        <stp>BDH|4381809631019741696</stp>
        <tr r="C87" s="1"/>
      </tp>
      <tp t="s">
        <v>#N/A N/A</v>
        <stp/>
        <stp>BDH|1931915691496392767</stp>
        <tr r="C171" s="1"/>
      </tp>
      <tp t="s">
        <v>#N/A N/A</v>
        <stp/>
        <stp>BDH|9549066925448299383</stp>
        <tr r="D163" s="1"/>
      </tp>
      <tp t="s">
        <v>#N/A N/A</v>
        <stp/>
        <stp>BDH|7574123940825311798</stp>
        <tr r="E193" s="1"/>
      </tp>
      <tp t="s">
        <v>#N/A N/A</v>
        <stp/>
        <stp>BDH|5032793395559145206</stp>
        <tr r="G115" s="1"/>
      </tp>
      <tp t="s">
        <v>#N/A N/A</v>
        <stp/>
        <stp>BDH|2953760935853734504</stp>
        <tr r="G247" s="1"/>
      </tp>
      <tp t="s">
        <v>#N/A N/A</v>
        <stp/>
        <stp>BDH|7340009693089418791</stp>
        <tr r="D62" s="1"/>
      </tp>
      <tp t="s">
        <v>#N/A N/A</v>
        <stp/>
        <stp>BDH|9186312692102372139</stp>
        <tr r="D272" s="1"/>
      </tp>
      <tp t="s">
        <v>#N/A N/A</v>
        <stp/>
        <stp>BDH|5955845812068977441</stp>
        <tr r="E162" s="1"/>
      </tp>
      <tp t="s">
        <v>#N/A N/A</v>
        <stp/>
        <stp>BDH|3744697014917846304</stp>
        <tr r="F86" s="1"/>
      </tp>
      <tp t="s">
        <v>#N/A N/A</v>
        <stp/>
        <stp>BDH|4765427388988922064</stp>
        <tr r="G265" s="1"/>
      </tp>
      <tp t="s">
        <v>#N/A N/A</v>
        <stp/>
        <stp>BDH|3078059452786589018</stp>
        <tr r="C76" s="1"/>
      </tp>
      <tp t="s">
        <v>#N/A N/A</v>
        <stp/>
        <stp>BDH|6011659203565755520</stp>
        <tr r="H64" s="1"/>
      </tp>
      <tp t="s">
        <v>#N/A N/A</v>
        <stp/>
        <stp>BDH|2053297521723257198</stp>
        <tr r="C260" s="1"/>
      </tp>
      <tp t="s">
        <v>#N/A N/A</v>
        <stp/>
        <stp>BDH|1824629168579606871</stp>
        <tr r="G195" s="1"/>
      </tp>
      <tp t="s">
        <v>#N/A N/A</v>
        <stp/>
        <stp>BDH|3940920219472880996</stp>
        <tr r="E237" s="1"/>
      </tp>
      <tp t="s">
        <v>#N/A N/A</v>
        <stp/>
        <stp>BDH|7556434663396128341</stp>
        <tr r="D265" s="1"/>
      </tp>
      <tp t="b">
        <v>0</v>
        <stp/>
        <stp>BDH|1340527421835177319</stp>
        <tr r="F15" s="1"/>
      </tp>
      <tp t="s">
        <v>#N/A N/A</v>
        <stp/>
        <stp>BDH|6192121940783105028</stp>
        <tr r="D228" s="1"/>
      </tp>
      <tp t="s">
        <v>#N/A N/A</v>
        <stp/>
        <stp>BDH|1119284066135929061</stp>
        <tr r="D96" s="1"/>
      </tp>
      <tp t="b">
        <v>0</v>
        <stp/>
        <stp>BDH|2109212013507682657</stp>
        <tr r="F7" s="1"/>
      </tp>
      <tp t="s">
        <v>#N/A N/A</v>
        <stp/>
        <stp>BDH|1160629052273449153</stp>
        <tr r="E107" s="1"/>
      </tp>
      <tp t="s">
        <v>#N/A N/A</v>
        <stp/>
        <stp>BDH|5403379974184215554</stp>
        <tr r="G170" s="1"/>
      </tp>
      <tp t="b">
        <v>0</v>
        <stp/>
        <stp>BDH|4684484214647365693</stp>
        <tr r="C19" s="1"/>
      </tp>
      <tp t="s">
        <v>#N/A N/A</v>
        <stp/>
        <stp>BDH|6356323119113813710</stp>
        <tr r="C158" s="1"/>
      </tp>
      <tp t="s">
        <v>#N/A N/A</v>
        <stp/>
        <stp>BDH|5040960094624012139</stp>
        <tr r="H172" s="1"/>
      </tp>
      <tp t="s">
        <v>#N/A N/A</v>
        <stp/>
        <stp>BDH|9185067695966010638</stp>
        <tr r="F169" s="1"/>
      </tp>
      <tp t="s">
        <v>#N/A N/A</v>
        <stp/>
        <stp>BDH|5596676787438711340</stp>
        <tr r="C69" s="1"/>
      </tp>
      <tp t="b">
        <v>0</v>
        <stp/>
        <stp>BDH|2321335797588070003</stp>
        <tr r="C25" s="1"/>
      </tp>
      <tp t="s">
        <v>#N/A N/A</v>
        <stp/>
        <stp>BDH|1229472645713346273</stp>
        <tr r="G243" s="1"/>
      </tp>
      <tp t="s">
        <v>#N/A N/A</v>
        <stp/>
        <stp>BDH|6222412706015202732</stp>
        <tr r="E168" s="1"/>
      </tp>
      <tp t="s">
        <v>#N/A N/A</v>
        <stp/>
        <stp>BDH|1870545052704217586</stp>
        <tr r="F253" s="1"/>
      </tp>
      <tp t="s">
        <v>#N/A N/A</v>
        <stp/>
        <stp>BDH|5767057552366168650</stp>
        <tr r="F149" s="1"/>
      </tp>
      <tp t="s">
        <v>#N/A N/A</v>
        <stp/>
        <stp>BDH|7799767013527056662</stp>
        <tr r="G129" s="1"/>
      </tp>
      <tp t="s">
        <v>#N/A N/A</v>
        <stp/>
        <stp>BDH|3931588341032134057</stp>
        <tr r="E196" s="1"/>
      </tp>
      <tp t="s">
        <v>#N/A N/A</v>
        <stp/>
        <stp>BDH|7889622861064912365</stp>
        <tr r="G241" s="1"/>
      </tp>
      <tp t="s">
        <v>#N/A N/A</v>
        <stp/>
        <stp>BDH|4835778028802772356</stp>
        <tr r="H268" s="1"/>
      </tp>
      <tp t="s">
        <v>#N/A N/A</v>
        <stp/>
        <stp>BDH|9571923418771221087</stp>
        <tr r="G62" s="1"/>
      </tp>
      <tp t="b">
        <v>0</v>
        <stp/>
        <stp>BDH|3430336024964189678</stp>
        <tr r="H10" s="1"/>
      </tp>
      <tp t="s">
        <v>#N/A N/A</v>
        <stp/>
        <stp>BDH|78840355649972987</stp>
        <tr r="D140" s="1"/>
      </tp>
      <tp t="s">
        <v>#N/A N/A</v>
        <stp/>
        <stp>BDH|79280199791922769</stp>
        <tr r="H106" s="1"/>
      </tp>
      <tp t="s">
        <v>#N/A N/A</v>
        <stp/>
        <stp>BDH|7637695812198390943</stp>
        <tr r="D99" s="1"/>
      </tp>
      <tp t="s">
        <v>#N/A N/A</v>
        <stp/>
        <stp>BDH|4969208674450358040</stp>
        <tr r="G201" s="1"/>
      </tp>
      <tp t="s">
        <v>#N/A N/A</v>
        <stp/>
        <stp>BDH|4274684401370175309</stp>
        <tr r="H105" s="1"/>
      </tp>
      <tp t="s">
        <v>#N/A N/A</v>
        <stp/>
        <stp>BDH|1795412137326910138</stp>
        <tr r="D251" s="1"/>
      </tp>
      <tp t="b">
        <v>0</v>
        <stp/>
        <stp>BDH|5876324593696257802</stp>
        <tr r="D54" s="1"/>
      </tp>
      <tp t="b">
        <v>0</v>
        <stp/>
        <stp>BDH|1076898201188388002</stp>
        <tr r="C51" s="1"/>
      </tp>
      <tp t="s">
        <v>#N/A N/A</v>
        <stp/>
        <stp>BDH|9518879119996532758</stp>
        <tr r="E224" s="1"/>
      </tp>
      <tp t="s">
        <v>#N/A N/A</v>
        <stp/>
        <stp>BDH|2791036878323156763</stp>
        <tr r="C235" s="1"/>
      </tp>
      <tp t="s">
        <v>#N/A N/A</v>
        <stp/>
        <stp>BDH|5369443056084298180</stp>
        <tr r="E108" s="1"/>
      </tp>
      <tp t="s">
        <v>#N/A N/A</v>
        <stp/>
        <stp>BDH|7386726578341062724</stp>
        <tr r="E260" s="1"/>
      </tp>
      <tp t="s">
        <v>#N/A N/A</v>
        <stp/>
        <stp>BDH|1070745124722954711</stp>
        <tr r="C160" s="1"/>
      </tp>
      <tp t="s">
        <v>#N/A N/A</v>
        <stp/>
        <stp>BDH|9116149523773674888</stp>
        <tr r="G217" s="1"/>
      </tp>
      <tp t="s">
        <v>#N/A N/A</v>
        <stp/>
        <stp>BDH|5051401718287399630</stp>
        <tr r="E153" s="1"/>
      </tp>
      <tp t="b">
        <v>0</v>
        <stp/>
        <stp>BDH|5399780110262796054</stp>
        <tr r="E25" s="1"/>
      </tp>
      <tp t="s">
        <v>#N/A N/A</v>
        <stp/>
        <stp>BDH|5779653298448525310</stp>
        <tr r="F104" s="1"/>
      </tp>
      <tp t="s">
        <v>#N/A N/A</v>
        <stp/>
        <stp>BDH|4373093404315071016</stp>
        <tr r="G256" s="1"/>
      </tp>
      <tp t="s">
        <v>#N/A N/A</v>
        <stp/>
        <stp>BDH|2632046252972776482</stp>
        <tr r="G235" s="1"/>
      </tp>
      <tp t="s">
        <v>#N/A N/A</v>
        <stp/>
        <stp>BDH|4676451961906847152</stp>
        <tr r="F152" s="1"/>
      </tp>
      <tp t="s">
        <v>#N/A N/A</v>
        <stp/>
        <stp>BDH|1259662240731966329</stp>
        <tr r="C151" s="1"/>
      </tp>
      <tp t="s">
        <v>#N/A N/A</v>
        <stp/>
        <stp>BDH|8359273654158602698</stp>
        <tr r="H69" s="1"/>
      </tp>
      <tp t="s">
        <v>#N/A N/A</v>
        <stp/>
        <stp>BDH|1994396728439073872</stp>
        <tr r="D66" s="1"/>
      </tp>
      <tp t="s">
        <v>#N/A N/A</v>
        <stp/>
        <stp>BDH|5230225741213555185</stp>
        <tr r="H137" s="1"/>
      </tp>
      <tp t="s">
        <v>#N/A N/A</v>
        <stp/>
        <stp>BDH|3666508723873017691</stp>
        <tr r="G4" s="1"/>
      </tp>
      <tp t="b">
        <v>0</v>
        <stp/>
        <stp>BDH|7293667287209850175</stp>
        <tr r="F14" s="1"/>
      </tp>
      <tp t="b">
        <v>0</v>
        <stp/>
        <stp>BDH|2359430035775957109</stp>
        <tr r="E28" s="1"/>
      </tp>
      <tp t="s">
        <v>#N/A N/A</v>
        <stp/>
        <stp>BDH|9036622432138855554</stp>
        <tr r="G85" s="1"/>
      </tp>
      <tp t="s">
        <v>#N/A N/A</v>
        <stp/>
        <stp>BDH|3647517867473829258</stp>
        <tr r="E202" s="1"/>
      </tp>
      <tp t="s">
        <v>#N/A N/A</v>
        <stp/>
        <stp>BDH|1248431840898815841</stp>
        <tr r="D121" s="1"/>
      </tp>
      <tp t="s">
        <v>#N/A N/A</v>
        <stp/>
        <stp>BDH|2730243350815106109</stp>
        <tr r="D246" s="1"/>
      </tp>
      <tp t="s">
        <v>#N/A N/A</v>
        <stp/>
        <stp>BDH|4950469377902803420</stp>
        <tr r="G107" s="1"/>
      </tp>
      <tp t="s">
        <v>#N/A N/A</v>
        <stp/>
        <stp>BDH|6980183507966533015</stp>
        <tr r="F165" s="1"/>
      </tp>
      <tp t="s">
        <v>#N/A N/A</v>
        <stp/>
        <stp>BDH|6365499339942119201</stp>
        <tr r="E121" s="1"/>
      </tp>
      <tp t="s">
        <v>#N/A N/A</v>
        <stp/>
        <stp>BDH|6502668971735157316</stp>
        <tr r="G202" s="1"/>
      </tp>
      <tp t="s">
        <v>#N/A N/A</v>
        <stp/>
        <stp>BDH|4687201854730858284</stp>
        <tr r="F263" s="1"/>
      </tp>
      <tp t="s">
        <v>#N/A N/A</v>
        <stp/>
        <stp>BDH|5287224610375571277</stp>
        <tr r="E262" s="1"/>
      </tp>
      <tp t="s">
        <v>#N/A N/A</v>
        <stp/>
        <stp>BDH|1801427274870569397</stp>
        <tr r="E101" s="1"/>
      </tp>
      <tp t="s">
        <v>#N/A N/A</v>
        <stp/>
        <stp>BDH|2245983389146418459</stp>
        <tr r="E109" s="1"/>
      </tp>
      <tp t="s">
        <v>#N/A N/A</v>
        <stp/>
        <stp>BDH|4303257763645667403</stp>
        <tr r="H83" s="1"/>
      </tp>
      <tp t="s">
        <v>#N/A N/A</v>
        <stp/>
        <stp>BDH|9674295673385861871</stp>
        <tr r="E136" s="1"/>
      </tp>
      <tp t="s">
        <v>#N/A N/A</v>
        <stp/>
        <stp>BDH|6497036870175275560</stp>
        <tr r="D73" s="1"/>
      </tp>
      <tp t="s">
        <v>#N/A N/A</v>
        <stp/>
        <stp>BDH|1489793748562610105</stp>
        <tr r="E216" s="1"/>
      </tp>
      <tp t="s">
        <v>#N/A N/A</v>
        <stp/>
        <stp>BDH|3758875891870610344</stp>
        <tr r="E219" s="1"/>
      </tp>
      <tp t="s">
        <v>#N/A N/A</v>
        <stp/>
        <stp>BDH|2744508772779553831</stp>
        <tr r="E156" s="1"/>
      </tp>
      <tp t="b">
        <v>0</v>
        <stp/>
        <stp>BDH|2469154240643043518</stp>
        <tr r="F55" s="1"/>
      </tp>
      <tp t="s">
        <v>#N/A N/A</v>
        <stp/>
        <stp>BDH|1605541044551087067</stp>
        <tr r="G124" s="1"/>
      </tp>
      <tp t="s">
        <v>#N/A N/A</v>
        <stp/>
        <stp>BDH|6610567631196138715</stp>
        <tr r="E132" s="1"/>
      </tp>
      <tp t="s">
        <v>#N/A N/A</v>
        <stp/>
        <stp>BDH|5289011635700006777</stp>
        <tr r="D205" s="1"/>
      </tp>
      <tp t="s">
        <v>#N/A N/A</v>
        <stp/>
        <stp>BDH|4906700559940394728</stp>
        <tr r="D234" s="1"/>
      </tp>
      <tp t="s">
        <v>#N/A N/A</v>
        <stp/>
        <stp>BDH|7763556645382284543</stp>
        <tr r="H108" s="1"/>
      </tp>
      <tp t="b">
        <v>0</v>
        <stp/>
        <stp>BDH|1762400456486065771</stp>
        <tr r="G58" s="1"/>
      </tp>
      <tp t="s">
        <v>#N/A N/A</v>
        <stp/>
        <stp>BDH|5362049434534175347</stp>
        <tr r="G61" s="1"/>
      </tp>
      <tp t="b">
        <v>0</v>
        <stp/>
        <stp>BDH|2883810986807068487</stp>
        <tr r="E50" s="1"/>
      </tp>
      <tp t="b">
        <v>0</v>
        <stp/>
        <stp>BDH|4399867851720333809</stp>
        <tr r="H56" s="1"/>
      </tp>
      <tp t="s">
        <v>#N/A N/A</v>
        <stp/>
        <stp>BDH|6156502959624639398</stp>
        <tr r="D134" s="1"/>
      </tp>
      <tp t="s">
        <v>#N/A N/A</v>
        <stp/>
        <stp>BDH|2422572054304893787</stp>
        <tr r="F207" s="1"/>
      </tp>
      <tp t="s">
        <v>#N/A N/A</v>
        <stp/>
        <stp>BDH|1957717321065850050</stp>
        <tr r="D148" s="1"/>
      </tp>
      <tp t="s">
        <v>#N/A N/A</v>
        <stp/>
        <stp>BDH|4542469614341671150</stp>
        <tr r="G77" s="1"/>
      </tp>
      <tp t="b">
        <v>0</v>
        <stp/>
        <stp>BDH|5999875942970951801</stp>
        <tr r="F10" s="1"/>
      </tp>
      <tp t="s">
        <v>#N/A N/A</v>
        <stp/>
        <stp>BDH|74525648268201553</stp>
        <tr r="E227" s="1"/>
      </tp>
      <tp t="s">
        <v>#N/A N/A</v>
        <stp/>
        <stp>BDH|3104240124728969926</stp>
        <tr r="E147" s="1"/>
      </tp>
      <tp t="s">
        <v>#N/A N/A</v>
        <stp/>
        <stp>BDH|3915032434604065648</stp>
        <tr r="H207" s="1"/>
      </tp>
      <tp t="s">
        <v>#N/A N/A</v>
        <stp/>
        <stp>BDH|4215357308937410211</stp>
        <tr r="E185" s="1"/>
      </tp>
      <tp t="s">
        <v>#N/A N/A</v>
        <stp/>
        <stp>BDH|2599477615156960358</stp>
        <tr r="G216" s="1"/>
      </tp>
      <tp t="s">
        <v>#N/A N/A</v>
        <stp/>
        <stp>BDH|4709693206619111920</stp>
        <tr r="D61" s="1"/>
      </tp>
      <tp t="s">
        <v>#N/A N/A</v>
        <stp/>
        <stp>BDH|4932155684747645859</stp>
        <tr r="F132" s="1"/>
      </tp>
      <tp t="s">
        <v>#N/A N/A</v>
        <stp/>
        <stp>BDH|3221440545036315783</stp>
        <tr r="G208" s="1"/>
      </tp>
      <tp t="s">
        <v>#N/A N/A</v>
        <stp/>
        <stp>BDH|2935006706905414530</stp>
        <tr r="F247" s="1"/>
      </tp>
      <tp t="s">
        <v>#N/A N/A</v>
        <stp/>
        <stp>BDH|6189394392046738853</stp>
        <tr r="E129" s="1"/>
      </tp>
      <tp t="s">
        <v>#N/A N/A</v>
        <stp/>
        <stp>BDH|4818838178741977825</stp>
        <tr r="D195" s="1"/>
      </tp>
      <tp t="s">
        <v>#N/A N/A</v>
        <stp/>
        <stp>BDH|5855908422529349503</stp>
        <tr r="E176" s="1"/>
      </tp>
      <tp t="s">
        <v>#N/A N/A</v>
        <stp/>
        <stp>BDH|8212620888640179472</stp>
        <tr r="G3" s="1"/>
      </tp>
      <tp t="s">
        <v>#N/A N/A</v>
        <stp/>
        <stp>BDH|5934746433140903392</stp>
        <tr r="C211" s="1"/>
      </tp>
      <tp t="s">
        <v>#N/A N/A</v>
        <stp/>
        <stp>BDH|7919990800514711898</stp>
        <tr r="H229" s="1"/>
      </tp>
      <tp t="s">
        <v>#N/A N/A</v>
        <stp/>
        <stp>BDH|1020351472064057387</stp>
        <tr r="C232" s="1"/>
      </tp>
      <tp t="s">
        <v>#N/A N/A</v>
        <stp/>
        <stp>BDH|5199238858959300963</stp>
        <tr r="H119" s="1"/>
      </tp>
      <tp t="s">
        <v>#N/A N/A</v>
        <stp/>
        <stp>BDH|1845849936308653031</stp>
        <tr r="H262" s="1"/>
      </tp>
      <tp t="s">
        <v>#N/A N/A</v>
        <stp/>
        <stp>BDH|1717292934284684634</stp>
        <tr r="E242" s="1"/>
      </tp>
      <tp t="s">
        <v>#N/A N/A</v>
        <stp/>
        <stp>BDH|3568054178445282352</stp>
        <tr r="G114" s="1"/>
      </tp>
      <tp t="s">
        <v>#N/A N/A</v>
        <stp/>
        <stp>BDH|5368608041962814767</stp>
        <tr r="E232" s="1"/>
      </tp>
      <tp t="b">
        <v>0</v>
        <stp/>
        <stp>BDH|2576665718134473324</stp>
        <tr r="C8" s="1"/>
      </tp>
      <tp t="s">
        <v>#N/A N/A</v>
        <stp/>
        <stp>BDH|7682911160243854925</stp>
        <tr r="E165" s="1"/>
      </tp>
      <tp t="b">
        <v>0</v>
        <stp/>
        <stp>BDH|2811764157901669320</stp>
        <tr r="F28" s="1"/>
      </tp>
      <tp t="s">
        <v>#N/A N/A</v>
        <stp/>
        <stp>BDH|2933380850321278713</stp>
        <tr r="G123" s="1"/>
      </tp>
      <tp t="b">
        <v>0</v>
        <stp/>
        <stp>BDH|6360582433026219483</stp>
        <tr r="C50" s="1"/>
      </tp>
      <tp t="s">
        <v>#N/A N/A</v>
        <stp/>
        <stp>BDH|9071444772881134943</stp>
        <tr r="H101" s="1"/>
      </tp>
      <tp t="s">
        <v>#N/A N/A</v>
        <stp/>
        <stp>BDH|6563667123398264819</stp>
        <tr r="F122" s="1"/>
      </tp>
      <tp t="s">
        <v>#N/A N/A</v>
        <stp/>
        <stp>BDH|2608034164032506445</stp>
        <tr r="G141" s="1"/>
      </tp>
      <tp t="b">
        <v>0</v>
        <stp/>
        <stp>BDH|3157542471060141357</stp>
        <tr r="E9" s="1"/>
      </tp>
      <tp t="s">
        <v>#N/A N/A</v>
        <stp/>
        <stp>BDH|5540609027177328419</stp>
        <tr r="C162" s="1"/>
      </tp>
      <tp t="b">
        <v>0</v>
        <stp/>
        <stp>BDH|1255660382198194574</stp>
        <tr r="H53" s="1"/>
      </tp>
      <tp t="b">
        <v>0</v>
        <stp/>
        <stp>BDH|7369222504932413510</stp>
        <tr r="G12" s="1"/>
      </tp>
      <tp t="s">
        <v>#N/A N/A</v>
        <stp/>
        <stp>BDH|2099995492810236098</stp>
        <tr r="E124" s="1"/>
      </tp>
      <tp t="s">
        <v>#N/A N/A</v>
        <stp/>
        <stp>BDH|4648479655952629537</stp>
        <tr r="D112" s="1"/>
      </tp>
      <tp t="b">
        <v>0</v>
        <stp/>
        <stp>BDH|2663461533842747557</stp>
        <tr r="F9" s="1"/>
      </tp>
      <tp t="b">
        <v>0</v>
        <stp/>
        <stp>BDH|2724522637845479371</stp>
        <tr r="H44" s="1"/>
      </tp>
      <tp t="s">
        <v>#N/A N/A</v>
        <stp/>
        <stp>BDH|4055588556027093186</stp>
        <tr r="F138" s="1"/>
      </tp>
      <tp t="s">
        <v>#N/A N/A</v>
        <stp/>
        <stp>BDH|8201550945652062944</stp>
        <tr r="F219" s="1"/>
      </tp>
      <tp t="s">
        <v>#N/A N/A</v>
        <stp/>
        <stp>BDH|8030915868252686798</stp>
        <tr r="G159" s="1"/>
      </tp>
      <tp t="s">
        <v>#N/A N/A</v>
        <stp/>
        <stp>BDH|2395372138550912038</stp>
        <tr r="H254" s="1"/>
      </tp>
      <tp t="b">
        <v>0</v>
        <stp/>
        <stp>BDH|7562017012942509657</stp>
        <tr r="H57" s="1"/>
      </tp>
      <tp t="b">
        <v>0</v>
        <stp/>
        <stp>BDH|9365495788642255572</stp>
        <tr r="H17" s="1"/>
      </tp>
      <tp t="s">
        <v>#N/A N/A</v>
        <stp/>
        <stp>BDH|3902143823476862415</stp>
        <tr r="F240" s="1"/>
      </tp>
      <tp t="b">
        <v>0</v>
        <stp/>
        <stp>BDH|7211533767884357228</stp>
        <tr r="H47" s="1"/>
      </tp>
      <tp t="s">
        <v>#N/A N/A</v>
        <stp/>
        <stp>BDH|9777973978965746080</stp>
        <tr r="G269" s="1"/>
      </tp>
      <tp t="b">
        <v>0</v>
        <stp/>
        <stp>BDH|7636784206432911069</stp>
        <tr r="D15" s="1"/>
      </tp>
      <tp t="s">
        <v>#N/A N/A</v>
        <stp/>
        <stp>BDH|2845598804020376516</stp>
        <tr r="F217" s="1"/>
      </tp>
      <tp t="s">
        <v>#N/A N/A</v>
        <stp/>
        <stp>BDH|1515067774820120423</stp>
        <tr r="C92" s="1"/>
      </tp>
      <tp t="b">
        <v>0</v>
        <stp/>
        <stp>BDH|2006374436933102342</stp>
        <tr r="D17" s="1"/>
      </tp>
      <tp t="s">
        <v>#N/A N/A</v>
        <stp/>
        <stp>BDH|2652673770687142654</stp>
        <tr r="C254" s="1"/>
      </tp>
      <tp t="s">
        <v>#N/A N/A</v>
        <stp/>
        <stp>BDH|7663166994054243933</stp>
        <tr r="H231" s="1"/>
      </tp>
      <tp t="s">
        <v>#N/A N/A</v>
        <stp/>
        <stp>BDH|4918964833165629807</stp>
        <tr r="E112" s="1"/>
      </tp>
      <tp t="s">
        <v>#N/A N/A</v>
        <stp/>
        <stp>BDH|5988287345861679182</stp>
        <tr r="F229" s="1"/>
      </tp>
      <tp t="s">
        <v>#N/A N/A</v>
        <stp/>
        <stp>BDH|9488956116862650096</stp>
        <tr r="C234" s="1"/>
      </tp>
      <tp t="s">
        <v>#N/A N/A</v>
        <stp/>
        <stp>BDH|1975205861563712572</stp>
        <tr r="H140" s="1"/>
      </tp>
      <tp t="s">
        <v>#N/A N/A</v>
        <stp/>
        <stp>BDH|4846175972221777029</stp>
        <tr r="G73" s="1"/>
      </tp>
      <tp t="s">
        <v>#N/A N/A</v>
        <stp/>
        <stp>BDH|1568302458452371668</stp>
        <tr r="C248" s="1"/>
      </tp>
      <tp t="s">
        <v>#N/A N/A</v>
        <stp/>
        <stp>BDH|4000972758649538230</stp>
        <tr r="D209" s="1"/>
      </tp>
      <tp t="s">
        <v>#N/A N/A</v>
        <stp/>
        <stp>BDH|5296281352174225549</stp>
        <tr r="H260" s="1"/>
      </tp>
      <tp t="b">
        <v>0</v>
        <stp/>
        <stp>BDH|7381802937966390992</stp>
        <tr r="H41" s="1"/>
      </tp>
      <tp t="s">
        <v>#N/A N/A</v>
        <stp/>
        <stp>BDH|1104821150566860958</stp>
        <tr r="F255" s="1"/>
      </tp>
      <tp t="s">
        <v>#N/A N/A</v>
        <stp/>
        <stp>BDH|9925808158862682596</stp>
        <tr r="H226" s="1"/>
      </tp>
      <tp t="s">
        <v>#N/A N/A</v>
        <stp/>
        <stp>BDH|7352320973719803953</stp>
        <tr r="H269" s="1"/>
      </tp>
      <tp t="s">
        <v>#N/A N/A</v>
        <stp/>
        <stp>BDH|9965052443468744670</stp>
        <tr r="G222" s="1"/>
      </tp>
      <tp t="s">
        <v>#N/A N/A</v>
        <stp/>
        <stp>BDH|6525219999308658644</stp>
        <tr r="F102" s="1"/>
      </tp>
      <tp t="s">
        <v>#N/A N/A</v>
        <stp/>
        <stp>BDH|8769827523877016690</stp>
        <tr r="C103" s="1"/>
      </tp>
      <tp t="b">
        <v>0</v>
        <stp/>
        <stp>BDH|7822015674096629576</stp>
        <tr r="D10" s="1"/>
      </tp>
      <tp t="s">
        <v>#N/A N/A</v>
        <stp/>
        <stp>BDH|8869053361788746571</stp>
        <tr r="C152" s="1"/>
      </tp>
      <tp t="s">
        <v>#N/A N/A</v>
        <stp/>
        <stp>BDH|9138834234560219184</stp>
        <tr r="F186" s="1"/>
      </tp>
      <tp t="s">
        <v>#N/A N/A</v>
        <stp/>
        <stp>BDH|1548630325042622490</stp>
        <tr r="D146" s="1"/>
      </tp>
      <tp t="s">
        <v>#N/A N/A</v>
        <stp/>
        <stp>BDH|3578529459607227700</stp>
        <tr r="C190" s="1"/>
      </tp>
      <tp t="s">
        <v>#N/A N/A</v>
        <stp/>
        <stp>BDH|1412032514907924478</stp>
        <tr r="C191" s="1"/>
      </tp>
      <tp t="s">
        <v>#N/A N/A</v>
        <stp/>
        <stp>BDH|9395580836165796974</stp>
        <tr r="C264" s="1"/>
      </tp>
      <tp t="s">
        <v>#N/A N/A</v>
        <stp/>
        <stp>BDH|8749756759088700119</stp>
        <tr r="C146" s="1"/>
      </tp>
      <tp t="s">
        <v>#N/A N/A</v>
        <stp/>
        <stp>BDH|3777589484269991401</stp>
        <tr r="H213" s="1"/>
      </tp>
      <tp t="b">
        <v>0</v>
        <stp/>
        <stp>BDH|6755970540421266914</stp>
        <tr r="C32" s="1"/>
      </tp>
      <tp t="s">
        <v>#N/A N/A</v>
        <stp/>
        <stp>BDH|9796912442847611011</stp>
        <tr r="C229" s="1"/>
      </tp>
      <tp t="s">
        <v>#N/A N/A</v>
        <stp/>
        <stp>BDH|5389041257936699554</stp>
        <tr r="G148" s="1"/>
      </tp>
      <tp t="s">
        <v>#N/A N/A</v>
        <stp/>
        <stp>BDH|1754163435441289156</stp>
        <tr r="E69" s="1"/>
      </tp>
      <tp t="b">
        <v>0</v>
        <stp/>
        <stp>BDH|2373701564115309547</stp>
        <tr r="D14" s="1"/>
      </tp>
      <tp t="s">
        <v>#N/A N/A</v>
        <stp/>
        <stp>BDH|7917142827446387194</stp>
        <tr r="H78" s="1"/>
      </tp>
      <tp t="s">
        <v>#N/A N/A</v>
        <stp/>
        <stp>BDH|7776547121915432664</stp>
        <tr r="H171" s="1"/>
      </tp>
      <tp t="s">
        <v>#N/A N/A</v>
        <stp/>
        <stp>BDH|4972080340764960797</stp>
        <tr r="C247" s="1"/>
      </tp>
      <tp t="s">
        <v>#N/A N/A</v>
        <stp/>
        <stp>BDH|6052610459066838015</stp>
        <tr r="G270" s="1"/>
      </tp>
      <tp t="b">
        <v>0</v>
        <stp/>
        <stp>BDH|1517170856654162244</stp>
        <tr r="G51" s="1"/>
      </tp>
      <tp t="s">
        <v>#N/A N/A</v>
        <stp/>
        <stp>BDH|1464977837688272074</stp>
        <tr r="E148" s="1"/>
      </tp>
      <tp t="s">
        <v>#N/A N/A</v>
        <stp/>
        <stp>BDH|8696815417201201334</stp>
        <tr r="E130" s="1"/>
      </tp>
      <tp t="s">
        <v>#N/A N/A</v>
        <stp/>
        <stp>BDH|5138514931026467631</stp>
        <tr r="C208" s="1"/>
      </tp>
      <tp t="s">
        <v>#N/A N/A</v>
        <stp/>
        <stp>BDH|7320079213054996182</stp>
        <tr r="G226" s="1"/>
      </tp>
      <tp t="s">
        <v>#N/A N/A</v>
        <stp/>
        <stp>BDH|9166837351447472012</stp>
        <tr r="H151" s="1"/>
      </tp>
      <tp t="s">
        <v>#N/A N/A</v>
        <stp/>
        <stp>BDH|9858871330676968706</stp>
        <tr r="H199" s="1"/>
      </tp>
      <tp t="s">
        <v>#N/A N/A</v>
        <stp/>
        <stp>BDH|9330778851221741943</stp>
        <tr r="D162" s="1"/>
      </tp>
      <tp t="s">
        <v>#N/A N/A</v>
        <stp/>
        <stp>BDH|8804965739303912295</stp>
        <tr r="D71" s="1"/>
      </tp>
      <tp t="s">
        <v>#N/A N/A</v>
        <stp/>
        <stp>BDH|4375788622150677281</stp>
        <tr r="F92" s="1"/>
      </tp>
      <tp t="s">
        <v>#N/A N/A</v>
        <stp/>
        <stp>BDH|2530861696967139730</stp>
        <tr r="F199" s="1"/>
      </tp>
      <tp t="s">
        <v>#N/A N/A</v>
        <stp/>
        <stp>BDH|7676940666298193321</stp>
        <tr r="H230" s="1"/>
      </tp>
      <tp t="s">
        <v>#N/A N/A</v>
        <stp/>
        <stp>BDH|3649736701571095631</stp>
        <tr r="C218" s="1"/>
      </tp>
      <tp t="b">
        <v>0</v>
        <stp/>
        <stp>BDH|3904533125811818604</stp>
        <tr r="E26" s="1"/>
      </tp>
      <tp t="s">
        <v>#N/A N/A</v>
        <stp/>
        <stp>BDH|3117407232060065770</stp>
        <tr r="F223" s="1"/>
      </tp>
      <tp t="s">
        <v>#N/A N/A</v>
        <stp/>
        <stp>BDH|8492897677224870060</stp>
        <tr r="E106" s="1"/>
      </tp>
      <tp t="b">
        <v>0</v>
        <stp/>
        <stp>BDH|2167778573338123903</stp>
        <tr r="H38" s="1"/>
      </tp>
      <tp t="b">
        <v>0</v>
        <stp/>
        <stp>BDH|4717623640044688175</stp>
        <tr r="H55" s="1"/>
      </tp>
      <tp t="b">
        <v>0</v>
        <stp/>
        <stp>BDH|3229250973877216238</stp>
        <tr r="G10" s="1"/>
      </tp>
      <tp t="s">
        <v>#N/A N/A</v>
        <stp/>
        <stp>BDH|8547463492450570613</stp>
        <tr r="D269" s="1"/>
      </tp>
      <tp t="s">
        <v>#N/A N/A</v>
        <stp/>
        <stp>BDH|1023785601190835542</stp>
        <tr r="G191" s="1"/>
      </tp>
      <tp t="s">
        <v>#N/A N/A</v>
        <stp/>
        <stp>BDH|4865824528318348549</stp>
        <tr r="H257" s="1"/>
      </tp>
      <tp t="s">
        <v>#N/A N/A</v>
        <stp/>
        <stp>BDH|33264523989424705</stp>
        <tr r="G182" s="1"/>
      </tp>
      <tp t="b">
        <v>0</v>
        <stp/>
        <stp>BDH|18169143138815314</stp>
        <tr r="C17" s="1"/>
      </tp>
      <tp t="s">
        <v>#N/A N/A</v>
        <stp/>
        <stp>BDH|157491531073717145</stp>
        <tr r="F63" s="1"/>
      </tp>
      <tp t="s">
        <v>#N/A N/A</v>
        <stp/>
        <stp>BDH|847379806530431663</stp>
        <tr r="C113" s="1"/>
      </tp>
      <tp t="b">
        <v>0</v>
        <stp/>
        <stp>BDH|808188728042813442</stp>
        <tr r="D58" s="1"/>
      </tp>
      <tp t="s">
        <v>#N/A N/A</v>
        <stp/>
        <stp>BDH|892768134606663798</stp>
        <tr r="D84" s="1"/>
      </tp>
      <tp t="s">
        <v>#N/A N/A</v>
        <stp/>
        <stp>BDH|165442546480471516</stp>
        <tr r="C163" s="1"/>
      </tp>
      <tp t="s">
        <v>#N/A N/A</v>
        <stp/>
        <stp>BDH|313854523277974931</stp>
        <tr r="H136" s="1"/>
      </tp>
      <tp t="s">
        <v>#N/A N/A</v>
        <stp/>
        <stp>BDH|742306707147946066</stp>
        <tr r="D103" s="1"/>
      </tp>
      <tp t="s">
        <v>#N/A N/A</v>
        <stp/>
        <stp>BDH|408391773822505219</stp>
        <tr r="E146" s="1"/>
      </tp>
      <tp t="b">
        <v>0</v>
        <stp/>
        <stp>BDH|891467476900435783</stp>
        <tr r="G60" s="1"/>
      </tp>
      <tp t="s">
        <v>#N/A N/A</v>
        <stp/>
        <stp>BDH|683044325174082212</stp>
        <tr r="E80" s="1"/>
      </tp>
      <tp t="s">
        <v>#N/A N/A</v>
        <stp/>
        <stp>BDH|400183123010007784</stp>
        <tr r="F201" s="1"/>
      </tp>
      <tp t="s">
        <v>#N/A N/A</v>
        <stp/>
        <stp>BDH|453784556411364414</stp>
        <tr r="C243" s="1"/>
      </tp>
      <tp t="s">
        <v>#N/A N/A</v>
        <stp/>
        <stp>BDH|831420325474479505</stp>
        <tr r="E247" s="1"/>
      </tp>
      <tp t="s">
        <v>#N/A N/A</v>
        <stp/>
        <stp>BDH|291652377682524420</stp>
        <tr r="H237" s="1"/>
      </tp>
      <tp t="s">
        <v>#N/A N/A</v>
        <stp/>
        <stp>BDH|419269771430936299</stp>
        <tr r="G212" s="1"/>
      </tp>
      <tp t="s">
        <v>#N/A N/A</v>
        <stp/>
        <stp>BDH|278569261851177498</stp>
        <tr r="C189" s="1"/>
      </tp>
      <tp t="s">
        <v>#N/A N/A</v>
        <stp/>
        <stp>BDH|302648434001848238</stp>
        <tr r="F67" s="1"/>
      </tp>
      <tp t="b">
        <v>0</v>
        <stp/>
        <stp>BDH|218231743989506932</stp>
        <tr r="F33" s="1"/>
      </tp>
      <tp t="s">
        <v>#N/A N/A</v>
        <stp/>
        <stp>BDH|137432104093483175</stp>
        <tr r="E138" s="1"/>
      </tp>
      <tp t="s">
        <v>#N/A N/A</v>
        <stp/>
        <stp>BDH|885341764754074077</stp>
        <tr r="C138" s="1"/>
      </tp>
      <tp t="s">
        <v>#N/A N/A</v>
        <stp/>
        <stp>BDH|664469656118726866</stp>
        <tr r="D75" s="1"/>
      </tp>
      <tp t="s">
        <v>#N/A N/A</v>
        <stp/>
        <stp>BDH|581163379785800223</stp>
        <tr r="H184" s="1"/>
      </tp>
      <tp t="s">
        <v>#N/A N/A</v>
        <stp/>
        <stp>BDH|453794268625603509</stp>
        <tr r="C259" s="1"/>
      </tp>
      <tp t="s">
        <v>#N/A N/A</v>
        <stp/>
        <stp>BDH|571733615224277322</stp>
        <tr r="G95" s="1"/>
      </tp>
      <tp t="s">
        <v>#N/A N/A</v>
        <stp/>
        <stp>BDH|380804885684968438</stp>
        <tr r="D138" s="1"/>
      </tp>
      <tp t="s">
        <v>#N/A N/A</v>
        <stp/>
        <stp>BDH|591796454927342524</stp>
        <tr r="F269" s="1"/>
      </tp>
      <tp t="b">
        <v>0</v>
        <stp/>
        <stp>BDH|299501615690511481</stp>
        <tr r="G46" s="1"/>
      </tp>
      <tp t="s">
        <v>#N/A N/A</v>
        <stp/>
        <stp>BDH|528779405843019437</stp>
        <tr r="F131" s="1"/>
      </tp>
      <tp t="s">
        <v>#N/A N/A</v>
        <stp/>
        <stp>BDH|610530161573178016</stp>
        <tr r="D252" s="1"/>
      </tp>
      <tp t="s">
        <v>#N/A N/A</v>
        <stp/>
        <stp>BDH|822692298589502699</stp>
        <tr r="D201" s="1"/>
      </tp>
      <tp t="b">
        <v>0</v>
        <stp/>
        <stp>BDH|804420307147438381</stp>
        <tr r="F36" s="1"/>
      </tp>
      <tp t="s">
        <v>#N/A N/A</v>
        <stp/>
        <stp>BDH|121520798196368974</stp>
        <tr r="C131" s="1"/>
      </tp>
      <tp t="s">
        <v>#N/A N/A</v>
        <stp/>
        <stp>BDH|875796902015114172</stp>
        <tr r="F230" s="1"/>
      </tp>
      <tp t="s">
        <v>#N/A N/A</v>
        <stp/>
        <stp>BDH|774135823304003421</stp>
        <tr r="F246" s="1"/>
      </tp>
      <tp t="s">
        <v>#N/A N/A</v>
        <stp/>
        <stp>BDH|765456387076829820</stp>
        <tr r="E252" s="1"/>
      </tp>
      <tp t="s">
        <v>#N/A N/A</v>
        <stp/>
        <stp>BDH|752263088770606873</stp>
        <tr r="C78" s="1"/>
      </tp>
      <tp t="s">
        <v>#N/A N/A</v>
        <stp/>
        <stp>BDH|908835064768449436</stp>
        <tr r="D182" s="1"/>
      </tp>
      <tp t="s">
        <v>#N/A N/A</v>
        <stp/>
        <stp>BDH|588498917619630114</stp>
        <tr r="H133" s="1"/>
      </tp>
      <tp t="s">
        <v>#N/A N/A</v>
        <stp/>
        <stp>BDH|363191191021673493</stp>
        <tr r="E231" s="1"/>
      </tp>
      <tp t="s">
        <v>#N/A N/A</v>
        <stp/>
        <stp>BDH|621272413406257829</stp>
        <tr r="F150" s="1"/>
      </tp>
      <tp t="s">
        <v>#N/A N/A</v>
        <stp/>
        <stp>BDH|124532462457029921</stp>
        <tr r="C157" s="1"/>
      </tp>
      <tp t="s">
        <v>#N/A N/A</v>
        <stp/>
        <stp>BDH|352436126818444318</stp>
        <tr r="D190" s="1"/>
      </tp>
      <tp t="s">
        <v>#N/A N/A</v>
        <stp/>
        <stp>BDH|574431340254831827</stp>
        <tr r="G172" s="1"/>
      </tp>
      <tp t="s">
        <v>#N/A N/A</v>
        <stp/>
        <stp>BDH|631126710209850528</stp>
        <tr r="E118" s="1"/>
      </tp>
      <tp t="s">
        <v>#N/A N/A</v>
        <stp/>
        <stp>BDH|859897164773061129</stp>
        <tr r="C175" s="1"/>
      </tp>
      <tp t="s">
        <v>#N/A N/A</v>
        <stp/>
        <stp>BDH|809727699041905043</stp>
        <tr r="G103" s="1"/>
      </tp>
      <tp t="b">
        <v>0</v>
        <stp/>
        <stp>BDH|180811957797656598</stp>
        <tr r="G31" s="1"/>
      </tp>
      <tp t="b">
        <v>0</v>
        <stp/>
        <stp>BDH|718850713604086244</stp>
        <tr r="H25" s="1"/>
      </tp>
      <tp t="s">
        <v>#N/A N/A</v>
        <stp/>
        <stp>BDH|908110763169965172</stp>
        <tr r="D63" s="1"/>
      </tp>
      <tp t="s">
        <v>#N/A N/A</v>
        <stp/>
        <stp>BDH|265898464286262636</stp>
        <tr r="G213" s="1"/>
      </tp>
      <tp t="s">
        <v>#N/A N/A</v>
        <stp/>
        <stp>BDH|338521238700098805</stp>
        <tr r="F110" s="1"/>
      </tp>
      <tp t="s">
        <v>#N/A N/A</v>
        <stp/>
        <stp>BDH|303071294614426352</stp>
        <tr r="G154" s="1"/>
      </tp>
      <tp t="s">
        <v>#N/A N/A</v>
        <stp/>
        <stp>BDH|229276149018328702</stp>
        <tr r="F148" s="1"/>
      </tp>
      <tp t="s">
        <v>#N/A N/A</v>
        <stp/>
        <stp>BDH|456960669337425163</stp>
        <tr r="E135" s="1"/>
      </tp>
      <tp t="s">
        <v>#N/A N/A</v>
        <stp/>
        <stp>BDH|545908956895726197</stp>
        <tr r="H117" s="1"/>
      </tp>
      <tp t="s">
        <v>#N/A N/A</v>
        <stp/>
        <stp>BDH|842841857756931387</stp>
        <tr r="C215" s="1"/>
      </tp>
      <tp t="s">
        <v>#N/A N/A</v>
        <stp/>
        <stp>BDH|146353348728131799</stp>
        <tr r="E155" s="1"/>
      </tp>
      <tp t="s">
        <v>#N/A N/A</v>
        <stp/>
        <stp>BDH|746829538743282092</stp>
        <tr r="C75" s="1"/>
      </tp>
      <tp t="s">
        <v>#N/A N/A</v>
        <stp/>
        <stp>BDH|852593882900126553</stp>
        <tr r="C123" s="1"/>
      </tp>
      <tp t="s">
        <v>#N/A N/A</v>
        <stp/>
        <stp>BDH|799864850832486493</stp>
        <tr r="C267" s="1"/>
      </tp>
      <tp t="s">
        <v>#N/A N/A</v>
        <stp/>
        <stp>BDH|767034709109429251</stp>
        <tr r="H109" s="1"/>
      </tp>
      <tp t="s">
        <v>#N/A N/A</v>
        <stp/>
        <stp>BDH|625593705138038658</stp>
        <tr r="D123" s="1"/>
      </tp>
      <tp t="s">
        <v>#N/A N/A</v>
        <stp/>
        <stp>BDH|853113996965120660</stp>
        <tr r="G240" s="1"/>
      </tp>
      <tp t="s">
        <v>#N/A N/A</v>
        <stp/>
        <stp>BDH|695380787606397602</stp>
        <tr r="C187" s="1"/>
      </tp>
      <tp t="s">
        <v>#N/A N/A</v>
        <stp/>
        <stp>BDH|288181927110693897</stp>
        <tr r="F260" s="1"/>
      </tp>
      <tp t="s">
        <v>#N/A N/A</v>
        <stp/>
        <stp>BDH|170851770766304257</stp>
        <tr r="G192" s="1"/>
      </tp>
      <tp t="b">
        <v>0</v>
        <stp/>
        <stp>BDH|478937986362613913</stp>
        <tr r="F5" s="1"/>
      </tp>
      <tp t="b">
        <v>0</v>
        <stp/>
        <stp>BDH|633944431093717331</stp>
        <tr r="C30" s="1"/>
      </tp>
      <tp t="s">
        <v>#N/A N/A</v>
        <stp/>
        <stp>BDH|446840996129390261</stp>
        <tr r="F196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D3E2C-8EC1-4A03-A5E2-AC1690BA4A15}">
  <dimension ref="A1:H301"/>
  <sheetViews>
    <sheetView tabSelected="1" workbookViewId="0"/>
  </sheetViews>
  <sheetFormatPr defaultRowHeight="15" x14ac:dyDescent="0.25"/>
  <cols>
    <col min="1" max="1" width="10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f ca="1">TODAY()</f>
        <v>45806</v>
      </c>
      <c r="B2" cm="1">
        <f t="array" aca="1" ref="B2" ca="1">_xll.BDP($B$1,B$2)</f>
        <v>5888.55</v>
      </c>
      <c r="C2" cm="1">
        <f t="array" aca="1" ref="C2" ca="1">_xll.BDP($B$1,C$2)</f>
        <v>81.576968150843527</v>
      </c>
      <c r="D2" cm="1">
        <f t="array" aca="1" ref="D2" ca="1">_xll.BDP($B$1,D$2)</f>
        <v>86.314996067496523</v>
      </c>
      <c r="E2" cm="1">
        <f t="array" aca="1" ref="E2" ca="1">_xll.BDP($B$1,E$2)</f>
        <v>18.568605380786135</v>
      </c>
      <c r="F2" cm="1">
        <f t="array" aca="1" ref="F2" ca="1">_xll.BDP($B$1,F$2)</f>
        <v>35.331846015545366</v>
      </c>
      <c r="G2" cm="1">
        <f t="array" aca="1" ref="G2" ca="1">_xll.BDP(_xlfn.CONCAT(G$2," INDEX"),"PX_LAST")</f>
        <v>4.1349</v>
      </c>
      <c r="H2" cm="1">
        <f t="array" aca="1" ref="H2" ca="1">_xll.BDP(_xlfn.CONCAT(H$2," INDEX"),"PX_LAST")</f>
        <v>23.11</v>
      </c>
    </row>
    <row r="3" spans="1:8" x14ac:dyDescent="0.25">
      <c r="A3" s="1">
        <f ca="1">_xll.BDH("SPX Index",B$1,WORKDAY($A$2,-283),WORKDAY($A$2,-1),"SORT=R","cols=2;rows=271")</f>
        <v>45805</v>
      </c>
      <c r="B3">
        <v>5888.55</v>
      </c>
      <c r="C3" cm="1">
        <f t="array" aca="1" ref="C3" ca="1">_xll.BDH("SPX Index",C$1,$A3,$A3)</f>
        <v>81.576999999999998</v>
      </c>
      <c r="D3" cm="1">
        <f t="array" aca="1" ref="D3" ca="1">_xll.BDH("SPX Index",D$1,$A3,$A3)</f>
        <v>86.314999999999998</v>
      </c>
      <c r="E3" cm="1">
        <f t="array" aca="1" ref="E3" ca="1">_xll.BDH("SPX Index",E$1,$A3,$A3)</f>
        <v>18.5686</v>
      </c>
      <c r="F3" cm="1">
        <f t="array" aca="1" ref="F3" ca="1">_xll.BDH("SPX Index",F$1,$A3,$A3)</f>
        <v>35.331800000000001</v>
      </c>
      <c r="G3" cm="1">
        <f t="array" aca="1" ref="G3" ca="1">_xll.BDH(_xlfn.CONCAT(G$1," INDEX"),"PX_LAST",$A3,$A3)</f>
        <v>4.1536999999999997</v>
      </c>
      <c r="H3" cm="1">
        <f t="array" aca="1" ref="H3" ca="1">_xll.BDH(_xlfn.CONCAT(H$1," INDEX"),"PX_LAST",$A3,$A3)</f>
        <v>23.11</v>
      </c>
    </row>
    <row r="4" spans="1:8" x14ac:dyDescent="0.25">
      <c r="A4" s="1">
        <v>45804</v>
      </c>
      <c r="B4">
        <v>5921.54</v>
      </c>
      <c r="C4" cm="1">
        <f t="array" ref="C4">_xll.BDH("SPX Index",C$1,$A4,$A4)</f>
        <v>81.611199999999997</v>
      </c>
      <c r="D4" cm="1">
        <f t="array" ref="D4">_xll.BDH("SPX Index",D$1,$A4,$A4)</f>
        <v>86.253900000000002</v>
      </c>
      <c r="E4" cm="1">
        <f t="array" ref="E4">_xll.BDH("SPX Index",E$1,$A4,$A4)</f>
        <v>18.581900000000001</v>
      </c>
      <c r="F4" cm="1">
        <f t="array" ref="F4">_xll.BDH("SPX Index",F$1,$A4,$A4)</f>
        <v>35.821800000000003</v>
      </c>
      <c r="G4" cm="1">
        <f t="array" ref="G4">_xll.BDH(_xlfn.CONCAT(G$1," INDEX"),"PX_LAST",$A4,$A4)</f>
        <v>4.1325000000000003</v>
      </c>
      <c r="H4" cm="1">
        <f t="array" ref="H4">_xll.BDH(_xlfn.CONCAT(H$1," INDEX"),"PX_LAST",$A4,$A4)</f>
        <v>22.87</v>
      </c>
    </row>
    <row r="5" spans="1:8" x14ac:dyDescent="0.25">
      <c r="A5" s="1">
        <v>45800</v>
      </c>
      <c r="B5">
        <v>5802.82</v>
      </c>
      <c r="C5" cm="1">
        <f t="array" ref="C5">_xll.BDH("SPX Index",C$1,$A5,$A5)</f>
        <v>81.641300000000001</v>
      </c>
      <c r="D5" cm="1">
        <f t="array" ref="D5">_xll.BDH("SPX Index",D$1,$A5,$A5)</f>
        <v>86.282799999999995</v>
      </c>
      <c r="E5" cm="1">
        <f t="array" ref="E5">_xll.BDH("SPX Index",E$1,$A5,$A5)</f>
        <v>18.578099999999999</v>
      </c>
      <c r="F5" cm="1">
        <f t="array" ref="F5">_xll.BDH("SPX Index",F$1,$A5,$A5)</f>
        <v>35.821800000000003</v>
      </c>
      <c r="G5" cm="1">
        <f t="array" ref="G5">_xll.BDH(_xlfn.CONCAT(G$1," INDEX"),"PX_LAST",$A5,$A5)</f>
        <v>4.1247999999999996</v>
      </c>
      <c r="H5" cm="1">
        <f t="array" ref="H5">_xll.BDH(_xlfn.CONCAT(H$1," INDEX"),"PX_LAST",$A5,$A5)</f>
        <v>24.35</v>
      </c>
    </row>
    <row r="6" spans="1:8" x14ac:dyDescent="0.25">
      <c r="A6" s="1">
        <v>45799</v>
      </c>
      <c r="B6">
        <v>5842.01</v>
      </c>
      <c r="C6" cm="1">
        <f t="array" ref="C6">_xll.BDH("SPX Index",C$1,$A6,$A6)</f>
        <v>81.636799999999994</v>
      </c>
      <c r="D6" cm="1">
        <f t="array" ref="D6">_xll.BDH("SPX Index",D$1,$A6,$A6)</f>
        <v>86.281599999999997</v>
      </c>
      <c r="E6" cm="1">
        <f t="array" ref="E6">_xll.BDH("SPX Index",E$1,$A6,$A6)</f>
        <v>18.5883</v>
      </c>
      <c r="F6" cm="1">
        <f t="array" ref="F6">_xll.BDH("SPX Index",F$1,$A6,$A6)</f>
        <v>35.821800000000003</v>
      </c>
      <c r="G6" cm="1">
        <f t="array" ref="G6">_xll.BDH(_xlfn.CONCAT(G$1," INDEX"),"PX_LAST",$A6,$A6)</f>
        <v>4.1181000000000001</v>
      </c>
      <c r="H6" cm="1">
        <f t="array" ref="H6">_xll.BDH(_xlfn.CONCAT(H$1," INDEX"),"PX_LAST",$A6,$A6)</f>
        <v>23.53</v>
      </c>
    </row>
    <row r="7" spans="1:8" x14ac:dyDescent="0.25">
      <c r="A7" s="1">
        <v>45798</v>
      </c>
      <c r="B7">
        <v>5844.61</v>
      </c>
      <c r="C7" cm="1">
        <f t="array" ref="C7">_xll.BDH("SPX Index",C$1,$A7,$A7)</f>
        <v>80.082899999999995</v>
      </c>
      <c r="D7" cm="1">
        <f t="array" ref="D7">_xll.BDH("SPX Index",D$1,$A7,$A7)</f>
        <v>84.665000000000006</v>
      </c>
      <c r="E7" cm="1">
        <f t="array" ref="E7">_xll.BDH("SPX Index",E$1,$A7,$A7)</f>
        <v>18.588000000000001</v>
      </c>
      <c r="F7" cm="1">
        <f t="array" ref="F7">_xll.BDH("SPX Index",F$1,$A7,$A7)</f>
        <v>35.821800000000003</v>
      </c>
      <c r="G7" cm="1">
        <f t="array" ref="G7">_xll.BDH(_xlfn.CONCAT(G$1," INDEX"),"PX_LAST",$A7,$A7)</f>
        <v>4.1211000000000002</v>
      </c>
      <c r="H7" cm="1">
        <f t="array" ref="H7">_xll.BDH(_xlfn.CONCAT(H$1," INDEX"),"PX_LAST",$A7,$A7)</f>
        <v>23.62</v>
      </c>
    </row>
    <row r="8" spans="1:8" x14ac:dyDescent="0.25">
      <c r="A8" s="1">
        <v>45797</v>
      </c>
      <c r="B8">
        <v>5940.46</v>
      </c>
      <c r="C8" cm="1">
        <f t="array" ref="C8">_xll.BDH("SPX Index",C$1,$A8,$A8)</f>
        <v>80.094899999999996</v>
      </c>
      <c r="D8" cm="1">
        <f t="array" ref="D8">_xll.BDH("SPX Index",D$1,$A8,$A8)</f>
        <v>84.68</v>
      </c>
      <c r="E8" cm="1">
        <f t="array" ref="E8">_xll.BDH("SPX Index",E$1,$A8,$A8)</f>
        <v>18.604500000000002</v>
      </c>
      <c r="F8" cm="1">
        <f t="array" ref="F8">_xll.BDH("SPX Index",F$1,$A8,$A8)</f>
        <v>35.821800000000003</v>
      </c>
      <c r="G8" cm="1">
        <f t="array" ref="G8">_xll.BDH(_xlfn.CONCAT(G$1," INDEX"),"PX_LAST",$A8,$A8)</f>
        <v>4.1052999999999997</v>
      </c>
      <c r="H8" cm="1">
        <f t="array" ref="H8">_xll.BDH(_xlfn.CONCAT(H$1," INDEX"),"PX_LAST",$A8,$A8)</f>
        <v>22.48</v>
      </c>
    </row>
    <row r="9" spans="1:8" x14ac:dyDescent="0.25">
      <c r="A9" s="1">
        <v>45796</v>
      </c>
      <c r="B9">
        <v>5963.6</v>
      </c>
      <c r="C9" cm="1">
        <f t="array" ref="C9">_xll.BDH("SPX Index",C$1,$A9,$A9)</f>
        <v>80.111699999999999</v>
      </c>
      <c r="D9" cm="1">
        <f t="array" ref="D9">_xll.BDH("SPX Index",D$1,$A9,$A9)</f>
        <v>84.704300000000003</v>
      </c>
      <c r="E9" cm="1">
        <f t="array" ref="E9">_xll.BDH("SPX Index",E$1,$A9,$A9)</f>
        <v>18.609400000000001</v>
      </c>
      <c r="F9" cm="1">
        <f t="array" ref="F9">_xll.BDH("SPX Index",F$1,$A9,$A9)</f>
        <v>35.821800000000003</v>
      </c>
      <c r="G9" cm="1">
        <f t="array" ref="G9">_xll.BDH(_xlfn.CONCAT(G$1," INDEX"),"PX_LAST",$A9,$A9)</f>
        <v>4.1111000000000004</v>
      </c>
      <c r="H9" cm="1">
        <f t="array" ref="H9">_xll.BDH(_xlfn.CONCAT(H$1," INDEX"),"PX_LAST",$A9,$A9)</f>
        <v>22.5</v>
      </c>
    </row>
    <row r="10" spans="1:8" x14ac:dyDescent="0.25">
      <c r="A10" s="1">
        <v>45793</v>
      </c>
      <c r="B10">
        <v>5958.38</v>
      </c>
      <c r="C10" cm="1">
        <f t="array" ref="C10">_xll.BDH("SPX Index",C$1,$A10,$A10)</f>
        <v>80.186700000000002</v>
      </c>
      <c r="D10" cm="1">
        <f t="array" ref="D10">_xll.BDH("SPX Index",D$1,$A10,$A10)</f>
        <v>84.827699999999993</v>
      </c>
      <c r="E10" cm="1">
        <f t="array" ref="E10">_xll.BDH("SPX Index",E$1,$A10,$A10)</f>
        <v>18.620699999999999</v>
      </c>
      <c r="F10" cm="1">
        <f t="array" ref="F10">_xll.BDH("SPX Index",F$1,$A10,$A10)</f>
        <v>35.821800000000003</v>
      </c>
      <c r="G10" cm="1">
        <f t="array" ref="G10">_xll.BDH(_xlfn.CONCAT(G$1," INDEX"),"PX_LAST",$A10,$A10)</f>
        <v>4.1195000000000004</v>
      </c>
      <c r="H10" cm="1">
        <f t="array" ref="H10">_xll.BDH(_xlfn.CONCAT(H$1," INDEX"),"PX_LAST",$A10,$A10)</f>
        <v>22.2</v>
      </c>
    </row>
    <row r="11" spans="1:8" x14ac:dyDescent="0.25">
      <c r="A11" s="1">
        <v>45792</v>
      </c>
      <c r="B11">
        <v>5916.93</v>
      </c>
      <c r="C11" cm="1">
        <f t="array" ref="C11">_xll.BDH("SPX Index",C$1,$A11,$A11)</f>
        <v>80.5274</v>
      </c>
      <c r="D11" cm="1">
        <f t="array" ref="D11">_xll.BDH("SPX Index",D$1,$A11,$A11)</f>
        <v>85.189099999999996</v>
      </c>
      <c r="E11" cm="1">
        <f t="array" ref="E11">_xll.BDH("SPX Index",E$1,$A11,$A11)</f>
        <v>18.615400000000001</v>
      </c>
      <c r="F11" cm="1">
        <f t="array" ref="F11">_xll.BDH("SPX Index",F$1,$A11,$A11)</f>
        <v>35.821800000000003</v>
      </c>
      <c r="G11" cm="1">
        <f t="array" ref="G11">_xll.BDH(_xlfn.CONCAT(G$1," INDEX"),"PX_LAST",$A11,$A11)</f>
        <v>4.0881999999999996</v>
      </c>
      <c r="H11" cm="1">
        <f t="array" ref="H11">_xll.BDH(_xlfn.CONCAT(H$1," INDEX"),"PX_LAST",$A11,$A11)</f>
        <v>22.17</v>
      </c>
    </row>
    <row r="12" spans="1:8" x14ac:dyDescent="0.25">
      <c r="A12" s="1">
        <v>45791</v>
      </c>
      <c r="B12">
        <v>5892.58</v>
      </c>
      <c r="C12" cm="1">
        <f t="array" ref="C12">_xll.BDH("SPX Index",C$1,$A12,$A12)</f>
        <v>80.157600000000002</v>
      </c>
      <c r="D12" cm="1">
        <f t="array" ref="D12">_xll.BDH("SPX Index",D$1,$A12,$A12)</f>
        <v>85.197999999999993</v>
      </c>
      <c r="E12" cm="1">
        <f t="array" ref="E12">_xll.BDH("SPX Index",E$1,$A12,$A12)</f>
        <v>18.6464</v>
      </c>
      <c r="F12" cm="1">
        <f t="array" ref="F12">_xll.BDH("SPX Index",F$1,$A12,$A12)</f>
        <v>35.821800000000003</v>
      </c>
      <c r="G12" cm="1">
        <f t="array" ref="G12">_xll.BDH(_xlfn.CONCAT(G$1," INDEX"),"PX_LAST",$A12,$A12)</f>
        <v>4.1317000000000004</v>
      </c>
      <c r="H12" cm="1">
        <f t="array" ref="H12">_xll.BDH(_xlfn.CONCAT(H$1," INDEX"),"PX_LAST",$A12,$A12)</f>
        <v>22.31</v>
      </c>
    </row>
    <row r="13" spans="1:8" x14ac:dyDescent="0.25">
      <c r="A13" s="1">
        <v>45790</v>
      </c>
      <c r="B13">
        <v>5886.55</v>
      </c>
      <c r="C13" cm="1">
        <f t="array" ref="C13">_xll.BDH("SPX Index",C$1,$A13,$A13)</f>
        <v>80.167500000000004</v>
      </c>
      <c r="D13" cm="1">
        <f t="array" ref="D13">_xll.BDH("SPX Index",D$1,$A13,$A13)</f>
        <v>85.198899999999995</v>
      </c>
      <c r="E13" cm="1">
        <f t="array" ref="E13">_xll.BDH("SPX Index",E$1,$A13,$A13)</f>
        <v>18.658999999999999</v>
      </c>
      <c r="F13" cm="1">
        <f t="array" ref="F13">_xll.BDH("SPX Index",F$1,$A13,$A13)</f>
        <v>35.821800000000003</v>
      </c>
      <c r="G13" cm="1">
        <f t="array" ref="G13">_xll.BDH(_xlfn.CONCAT(G$1," INDEX"),"PX_LAST",$A13,$A13)</f>
        <v>4.1116999999999999</v>
      </c>
      <c r="H13" cm="1">
        <f t="array" ref="H13">_xll.BDH(_xlfn.CONCAT(H$1," INDEX"),"PX_LAST",$A13,$A13)</f>
        <v>22.12</v>
      </c>
    </row>
    <row r="14" spans="1:8" x14ac:dyDescent="0.25">
      <c r="A14" s="1">
        <v>45789</v>
      </c>
      <c r="B14">
        <v>5844.19</v>
      </c>
      <c r="C14" cm="1">
        <f t="array" ref="C14">_xll.BDH("SPX Index",C$1,$A14,$A14)</f>
        <v>80.166899999999998</v>
      </c>
      <c r="D14" cm="1">
        <f t="array" ref="D14">_xll.BDH("SPX Index",D$1,$A14,$A14)</f>
        <v>85.209199999999996</v>
      </c>
      <c r="E14" cm="1">
        <f t="array" ref="E14">_xll.BDH("SPX Index",E$1,$A14,$A14)</f>
        <v>18.655899999999999</v>
      </c>
      <c r="F14" cm="1">
        <f t="array" ref="F14">_xll.BDH("SPX Index",F$1,$A14,$A14)</f>
        <v>35.821800000000003</v>
      </c>
      <c r="G14" cm="1">
        <f t="array" ref="G14">_xll.BDH(_xlfn.CONCAT(G$1," INDEX"),"PX_LAST",$A14,$A14)</f>
        <v>4.1147</v>
      </c>
      <c r="H14" cm="1">
        <f t="array" ref="H14">_xll.BDH(_xlfn.CONCAT(H$1," INDEX"),"PX_LAST",$A14,$A14)</f>
        <v>22.44</v>
      </c>
    </row>
    <row r="15" spans="1:8" x14ac:dyDescent="0.25">
      <c r="A15" s="1">
        <v>45786</v>
      </c>
      <c r="B15">
        <v>5659.91</v>
      </c>
      <c r="C15" cm="1">
        <f t="array" ref="C15">_xll.BDH("SPX Index",C$1,$A15,$A15)</f>
        <v>80.109800000000007</v>
      </c>
      <c r="D15" cm="1">
        <f t="array" ref="D15">_xll.BDH("SPX Index",D$1,$A15,$A15)</f>
        <v>85.136099999999999</v>
      </c>
      <c r="E15" cm="1">
        <f t="array" ref="E15">_xll.BDH("SPX Index",E$1,$A15,$A15)</f>
        <v>18.6829</v>
      </c>
      <c r="F15" cm="1">
        <f t="array" ref="F15">_xll.BDH("SPX Index",F$1,$A15,$A15)</f>
        <v>35.821800000000003</v>
      </c>
      <c r="G15" cm="1">
        <f t="array" ref="G15">_xll.BDH(_xlfn.CONCAT(G$1," INDEX"),"PX_LAST",$A15,$A15)</f>
        <v>4.056</v>
      </c>
      <c r="H15" cm="1">
        <f t="array" ref="H15">_xll.BDH(_xlfn.CONCAT(H$1," INDEX"),"PX_LAST",$A15,$A15)</f>
        <v>24.5</v>
      </c>
    </row>
    <row r="16" spans="1:8" x14ac:dyDescent="0.25">
      <c r="A16" s="1">
        <v>45785</v>
      </c>
      <c r="B16">
        <v>5663.94</v>
      </c>
      <c r="C16" cm="1">
        <f t="array" ref="C16">_xll.BDH("SPX Index",C$1,$A16,$A16)</f>
        <v>80.107100000000003</v>
      </c>
      <c r="D16" cm="1">
        <f t="array" ref="D16">_xll.BDH("SPX Index",D$1,$A16,$A16)</f>
        <v>85.131100000000004</v>
      </c>
      <c r="E16" cm="1">
        <f t="array" ref="E16">_xll.BDH("SPX Index",E$1,$A16,$A16)</f>
        <v>18.6815</v>
      </c>
      <c r="F16" cm="1">
        <f t="array" ref="F16">_xll.BDH("SPX Index",F$1,$A16,$A16)</f>
        <v>35.821800000000003</v>
      </c>
      <c r="G16" cm="1">
        <f t="array" ref="G16">_xll.BDH(_xlfn.CONCAT(G$1," INDEX"),"PX_LAST",$A16,$A16)</f>
        <v>4.0597000000000003</v>
      </c>
      <c r="H16" cm="1">
        <f t="array" ref="H16">_xll.BDH(_xlfn.CONCAT(H$1," INDEX"),"PX_LAST",$A16,$A16)</f>
        <v>24.61</v>
      </c>
    </row>
    <row r="17" spans="1:8" x14ac:dyDescent="0.25">
      <c r="A17" s="1">
        <v>45784</v>
      </c>
      <c r="B17">
        <v>5631.28</v>
      </c>
      <c r="C17" cm="1">
        <f t="array" ref="C17">_xll.BDH("SPX Index",C$1,$A17,$A17)</f>
        <v>80.089200000000005</v>
      </c>
      <c r="D17" cm="1">
        <f t="array" ref="D17">_xll.BDH("SPX Index",D$1,$A17,$A17)</f>
        <v>84.384799999999998</v>
      </c>
      <c r="E17" cm="1">
        <f t="array" ref="E17">_xll.BDH("SPX Index",E$1,$A17,$A17)</f>
        <v>18.7164</v>
      </c>
      <c r="F17" cm="1">
        <f t="array" ref="F17">_xll.BDH("SPX Index",F$1,$A17,$A17)</f>
        <v>35.821800000000003</v>
      </c>
      <c r="G17" cm="1">
        <f t="array" ref="G17">_xll.BDH(_xlfn.CONCAT(G$1," INDEX"),"PX_LAST",$A17,$A17)</f>
        <v>3.9983</v>
      </c>
      <c r="H17" cm="1">
        <f t="array" ref="H17">_xll.BDH(_xlfn.CONCAT(H$1," INDEX"),"PX_LAST",$A17,$A17)</f>
        <v>25.11</v>
      </c>
    </row>
    <row r="18" spans="1:8" x14ac:dyDescent="0.25">
      <c r="A18" s="1">
        <v>45783</v>
      </c>
      <c r="B18">
        <v>5606.91</v>
      </c>
      <c r="C18" cm="1">
        <f t="array" ref="C18">_xll.BDH("SPX Index",C$1,$A18,$A18)</f>
        <v>80.028499999999994</v>
      </c>
      <c r="D18" cm="1">
        <f t="array" ref="D18">_xll.BDH("SPX Index",D$1,$A18,$A18)</f>
        <v>84.457099999999997</v>
      </c>
      <c r="E18" cm="1">
        <f t="array" ref="E18">_xll.BDH("SPX Index",E$1,$A18,$A18)</f>
        <v>18.8065</v>
      </c>
      <c r="F18" cm="1">
        <f t="array" ref="F18">_xll.BDH("SPX Index",F$1,$A18,$A18)</f>
        <v>35.821800000000003</v>
      </c>
      <c r="G18" cm="1">
        <f t="array" ref="G18">_xll.BDH(_xlfn.CONCAT(G$1," INDEX"),"PX_LAST",$A18,$A18)</f>
        <v>3.9851999999999999</v>
      </c>
      <c r="H18" cm="1">
        <f t="array" ref="H18">_xll.BDH(_xlfn.CONCAT(H$1," INDEX"),"PX_LAST",$A18,$A18)</f>
        <v>25.34</v>
      </c>
    </row>
    <row r="19" spans="1:8" x14ac:dyDescent="0.25">
      <c r="A19" s="1">
        <v>45782</v>
      </c>
      <c r="B19">
        <v>5650.38</v>
      </c>
      <c r="C19" cm="1">
        <f t="array" ref="C19">_xll.BDH("SPX Index",C$1,$A19,$A19)</f>
        <v>80.078800000000001</v>
      </c>
      <c r="D19" cm="1">
        <f t="array" ref="D19">_xll.BDH("SPX Index",D$1,$A19,$A19)</f>
        <v>84.507900000000006</v>
      </c>
      <c r="E19" cm="1">
        <f t="array" ref="E19">_xll.BDH("SPX Index",E$1,$A19,$A19)</f>
        <v>18.827400000000001</v>
      </c>
      <c r="F19" cm="1">
        <f t="array" ref="F19">_xll.BDH("SPX Index",F$1,$A19,$A19)</f>
        <v>35.821800000000003</v>
      </c>
      <c r="G19" cm="1">
        <f t="array" ref="G19">_xll.BDH(_xlfn.CONCAT(G$1," INDEX"),"PX_LAST",$A19,$A19)</f>
        <v>4.0204000000000004</v>
      </c>
      <c r="H19" cm="1">
        <f t="array" ref="H19">_xll.BDH(_xlfn.CONCAT(H$1," INDEX"),"PX_LAST",$A19,$A19)</f>
        <v>24.78</v>
      </c>
    </row>
    <row r="20" spans="1:8" x14ac:dyDescent="0.25">
      <c r="A20" s="1">
        <v>45779</v>
      </c>
      <c r="B20">
        <v>5686.67</v>
      </c>
      <c r="C20" cm="1">
        <f t="array" ref="C20">_xll.BDH("SPX Index",C$1,$A20,$A20)</f>
        <v>81.763400000000004</v>
      </c>
      <c r="D20" cm="1">
        <f t="array" ref="D20">_xll.BDH("SPX Index",D$1,$A20,$A20)</f>
        <v>84.551500000000004</v>
      </c>
      <c r="E20" cm="1">
        <f t="array" ref="E20">_xll.BDH("SPX Index",E$1,$A20,$A20)</f>
        <v>18.8887</v>
      </c>
      <c r="F20" cm="1">
        <f t="array" ref="F20">_xll.BDH("SPX Index",F$1,$A20,$A20)</f>
        <v>35.821800000000003</v>
      </c>
      <c r="G20" cm="1">
        <f t="array" ref="G20">_xll.BDH(_xlfn.CONCAT(G$1," INDEX"),"PX_LAST",$A20,$A20)</f>
        <v>4.0019999999999998</v>
      </c>
      <c r="H20" cm="1">
        <f t="array" ref="H20">_xll.BDH(_xlfn.CONCAT(H$1," INDEX"),"PX_LAST",$A20,$A20)</f>
        <v>24.53</v>
      </c>
    </row>
    <row r="21" spans="1:8" x14ac:dyDescent="0.25">
      <c r="A21" s="1">
        <v>45778</v>
      </c>
      <c r="B21">
        <v>5604.14</v>
      </c>
      <c r="C21" cm="1">
        <f t="array" ref="C21">_xll.BDH("SPX Index",C$1,$A21,$A21)</f>
        <v>81.787300000000002</v>
      </c>
      <c r="D21" cm="1">
        <f t="array" ref="D21">_xll.BDH("SPX Index",D$1,$A21,$A21)</f>
        <v>84.451800000000006</v>
      </c>
      <c r="E21" cm="1">
        <f t="array" ref="E21">_xll.BDH("SPX Index",E$1,$A21,$A21)</f>
        <v>18.9068</v>
      </c>
      <c r="F21" cm="1">
        <f t="array" ref="F21">_xll.BDH("SPX Index",F$1,$A21,$A21)</f>
        <v>35.821800000000003</v>
      </c>
      <c r="G21" cm="1">
        <f t="array" ref="G21">_xll.BDH(_xlfn.CONCAT(G$1," INDEX"),"PX_LAST",$A21,$A21)</f>
        <v>3.9198</v>
      </c>
      <c r="H21" cm="1">
        <f t="array" ref="H21">_xll.BDH(_xlfn.CONCAT(H$1," INDEX"),"PX_LAST",$A21,$A21)</f>
        <v>25.49</v>
      </c>
    </row>
    <row r="22" spans="1:8" x14ac:dyDescent="0.25">
      <c r="A22" s="1">
        <v>45777</v>
      </c>
      <c r="B22">
        <v>5569.06</v>
      </c>
      <c r="C22" cm="1">
        <f t="array" ref="C22">_xll.BDH("SPX Index",C$1,$A22,$A22)</f>
        <v>81.822900000000004</v>
      </c>
      <c r="D22" cm="1">
        <f t="array" ref="D22">_xll.BDH("SPX Index",D$1,$A22,$A22)</f>
        <v>84.470600000000005</v>
      </c>
      <c r="E22" cm="1">
        <f t="array" ref="E22">_xll.BDH("SPX Index",E$1,$A22,$A22)</f>
        <v>18.9176</v>
      </c>
      <c r="F22" cm="1">
        <f t="array" ref="F22">_xll.BDH("SPX Index",F$1,$A22,$A22)</f>
        <v>35.821800000000003</v>
      </c>
      <c r="G22" cm="1">
        <f t="array" ref="G22">_xll.BDH(_xlfn.CONCAT(G$1," INDEX"),"PX_LAST",$A22,$A22)</f>
        <v>3.8504</v>
      </c>
      <c r="H22" cm="1">
        <f t="array" ref="H22">_xll.BDH(_xlfn.CONCAT(H$1," INDEX"),"PX_LAST",$A22,$A22)</f>
        <v>25.63</v>
      </c>
    </row>
    <row r="23" spans="1:8" x14ac:dyDescent="0.25">
      <c r="A23" s="1">
        <v>45776</v>
      </c>
      <c r="B23">
        <v>5560.83</v>
      </c>
      <c r="C23" cm="1">
        <f t="array" ref="C23">_xll.BDH("SPX Index",C$1,$A23,$A23)</f>
        <v>81.850700000000003</v>
      </c>
      <c r="D23" cm="1">
        <f t="array" ref="D23">_xll.BDH("SPX Index",D$1,$A23,$A23)</f>
        <v>84.547799999999995</v>
      </c>
      <c r="E23" cm="1">
        <f t="array" ref="E23">_xll.BDH("SPX Index",E$1,$A23,$A23)</f>
        <v>18.858000000000001</v>
      </c>
      <c r="F23" cm="1">
        <f t="array" ref="F23">_xll.BDH("SPX Index",F$1,$A23,$A23)</f>
        <v>35.821800000000003</v>
      </c>
      <c r="G23" cm="1">
        <f t="array" ref="G23">_xll.BDH(_xlfn.CONCAT(G$1," INDEX"),"PX_LAST",$A23,$A23)</f>
        <v>3.8936000000000002</v>
      </c>
      <c r="H23" cm="1">
        <f t="array" ref="H23">_xll.BDH(_xlfn.CONCAT(H$1," INDEX"),"PX_LAST",$A23,$A23)</f>
        <v>25.38</v>
      </c>
    </row>
    <row r="24" spans="1:8" x14ac:dyDescent="0.25">
      <c r="A24" s="1">
        <v>45775</v>
      </c>
      <c r="B24">
        <v>5528.75</v>
      </c>
      <c r="C24" cm="1">
        <f t="array" ref="C24">_xll.BDH("SPX Index",C$1,$A24,$A24)</f>
        <v>81.883499999999998</v>
      </c>
      <c r="D24" cm="1">
        <f t="array" ref="D24">_xll.BDH("SPX Index",D$1,$A24,$A24)</f>
        <v>84.595500000000001</v>
      </c>
      <c r="E24" cm="1">
        <f t="array" ref="E24">_xll.BDH("SPX Index",E$1,$A24,$A24)</f>
        <v>18.886399999999998</v>
      </c>
      <c r="F24" cm="1">
        <f t="array" ref="F24">_xll.BDH("SPX Index",F$1,$A24,$A24)</f>
        <v>35.821800000000003</v>
      </c>
      <c r="G24" cm="1">
        <f t="array" ref="G24">_xll.BDH(_xlfn.CONCAT(G$1," INDEX"),"PX_LAST",$A24,$A24)</f>
        <v>3.9154</v>
      </c>
      <c r="H24" cm="1">
        <f t="array" ref="H24">_xll.BDH(_xlfn.CONCAT(H$1," INDEX"),"PX_LAST",$A24,$A24)</f>
        <v>25.38</v>
      </c>
    </row>
    <row r="25" spans="1:8" x14ac:dyDescent="0.25">
      <c r="A25" s="1">
        <v>45772</v>
      </c>
      <c r="B25">
        <v>5525.21</v>
      </c>
      <c r="C25" cm="1">
        <f t="array" ref="C25">_xll.BDH("SPX Index",C$1,$A25,$A25)</f>
        <v>81.880200000000002</v>
      </c>
      <c r="D25" cm="1">
        <f t="array" ref="D25">_xll.BDH("SPX Index",D$1,$A25,$A25)</f>
        <v>84.539199999999994</v>
      </c>
      <c r="E25" cm="1">
        <f t="array" ref="E25">_xll.BDH("SPX Index",E$1,$A25,$A25)</f>
        <v>18.917300000000001</v>
      </c>
      <c r="F25" cm="1">
        <f t="array" ref="F25">_xll.BDH("SPX Index",F$1,$A25,$A25)</f>
        <v>35.821800000000003</v>
      </c>
      <c r="G25" cm="1">
        <f t="array" ref="G25">_xll.BDH(_xlfn.CONCAT(G$1," INDEX"),"PX_LAST",$A25,$A25)</f>
        <v>3.9424999999999999</v>
      </c>
      <c r="H25" cm="1">
        <f t="array" ref="H25">_xll.BDH(_xlfn.CONCAT(H$1," INDEX"),"PX_LAST",$A25,$A25)</f>
        <v>25.15</v>
      </c>
    </row>
    <row r="26" spans="1:8" x14ac:dyDescent="0.25">
      <c r="A26" s="1">
        <v>45771</v>
      </c>
      <c r="B26">
        <v>5484.77</v>
      </c>
      <c r="C26" cm="1">
        <f t="array" ref="C26">_xll.BDH("SPX Index",C$1,$A26,$A26)</f>
        <v>81.920699999999997</v>
      </c>
      <c r="D26" cm="1">
        <f t="array" ref="D26">_xll.BDH("SPX Index",D$1,$A26,$A26)</f>
        <v>84.725999999999999</v>
      </c>
      <c r="E26" cm="1">
        <f t="array" ref="E26">_xll.BDH("SPX Index",E$1,$A26,$A26)</f>
        <v>18.927099999999999</v>
      </c>
      <c r="F26" cm="1">
        <f t="array" ref="F26">_xll.BDH("SPX Index",F$1,$A26,$A26)</f>
        <v>35.821800000000003</v>
      </c>
      <c r="G26" cm="1">
        <f t="array" ref="G26">_xll.BDH(_xlfn.CONCAT(G$1," INDEX"),"PX_LAST",$A26,$A26)</f>
        <v>3.9622000000000002</v>
      </c>
      <c r="H26" cm="1">
        <f t="array" ref="H26">_xll.BDH(_xlfn.CONCAT(H$1," INDEX"),"PX_LAST",$A26,$A26)</f>
        <v>25.58</v>
      </c>
    </row>
    <row r="27" spans="1:8" x14ac:dyDescent="0.25">
      <c r="A27" s="1">
        <v>45770</v>
      </c>
      <c r="B27">
        <v>5375.86</v>
      </c>
      <c r="C27" cm="1">
        <f t="array" ref="C27">_xll.BDH("SPX Index",C$1,$A27,$A27)</f>
        <v>81.959000000000003</v>
      </c>
      <c r="D27" cm="1">
        <f t="array" ref="D27">_xll.BDH("SPX Index",D$1,$A27,$A27)</f>
        <v>84.779799999999994</v>
      </c>
      <c r="E27" cm="1">
        <f t="array" ref="E27">_xll.BDH("SPX Index",E$1,$A27,$A27)</f>
        <v>18.903300000000002</v>
      </c>
      <c r="F27" cm="1">
        <f t="array" ref="F27">_xll.BDH("SPX Index",F$1,$A27,$A27)</f>
        <v>35.821800000000003</v>
      </c>
      <c r="G27" cm="1">
        <f t="array" ref="G27">_xll.BDH(_xlfn.CONCAT(G$1," INDEX"),"PX_LAST",$A27,$A27)</f>
        <v>4.0109000000000004</v>
      </c>
      <c r="H27" cm="1">
        <f t="array" ref="H27">_xll.BDH(_xlfn.CONCAT(H$1," INDEX"),"PX_LAST",$A27,$A27)</f>
        <v>26.72</v>
      </c>
    </row>
    <row r="28" spans="1:8" x14ac:dyDescent="0.25">
      <c r="A28" s="1">
        <v>45769</v>
      </c>
      <c r="B28">
        <v>5287.76</v>
      </c>
      <c r="C28" cm="1">
        <f t="array" ref="C28">_xll.BDH("SPX Index",C$1,$A28,$A28)</f>
        <v>81.948800000000006</v>
      </c>
      <c r="D28" cm="1">
        <f t="array" ref="D28">_xll.BDH("SPX Index",D$1,$A28,$A28)</f>
        <v>84.714500000000001</v>
      </c>
      <c r="E28" cm="1">
        <f t="array" ref="E28">_xll.BDH("SPX Index",E$1,$A28,$A28)</f>
        <v>18.929400000000001</v>
      </c>
      <c r="F28" cm="1">
        <f t="array" ref="F28">_xll.BDH("SPX Index",F$1,$A28,$A28)</f>
        <v>35.821800000000003</v>
      </c>
      <c r="G28" cm="1">
        <f t="array" ref="G28">_xll.BDH(_xlfn.CONCAT(G$1," INDEX"),"PX_LAST",$A28,$A28)</f>
        <v>3.9790000000000001</v>
      </c>
      <c r="H28" cm="1">
        <f t="array" ref="H28">_xll.BDH(_xlfn.CONCAT(H$1," INDEX"),"PX_LAST",$A28,$A28)</f>
        <v>27.4</v>
      </c>
    </row>
    <row r="29" spans="1:8" x14ac:dyDescent="0.25">
      <c r="A29" s="1">
        <v>45768</v>
      </c>
      <c r="B29">
        <v>5158.2</v>
      </c>
      <c r="C29" cm="1">
        <f t="array" ref="C29">_xll.BDH("SPX Index",C$1,$A29,$A29)</f>
        <v>81.975200000000001</v>
      </c>
      <c r="D29" cm="1">
        <f t="array" ref="D29">_xll.BDH("SPX Index",D$1,$A29,$A29)</f>
        <v>84.746700000000004</v>
      </c>
      <c r="E29" cm="1">
        <f t="array" ref="E29">_xll.BDH("SPX Index",E$1,$A29,$A29)</f>
        <v>18.950399999999998</v>
      </c>
      <c r="F29" cm="1">
        <f t="array" ref="F29">_xll.BDH("SPX Index",F$1,$A29,$A29)</f>
        <v>35.821800000000003</v>
      </c>
      <c r="G29" cm="1">
        <f t="array" ref="G29">_xll.BDH(_xlfn.CONCAT(G$1," INDEX"),"PX_LAST",$A29,$A29)</f>
        <v>3.9470999999999998</v>
      </c>
      <c r="H29" cm="1">
        <f t="array" ref="H29">_xll.BDH(_xlfn.CONCAT(H$1," INDEX"),"PX_LAST",$A29,$A29)</f>
        <v>28.62</v>
      </c>
    </row>
    <row r="30" spans="1:8" x14ac:dyDescent="0.25">
      <c r="A30" s="1">
        <v>45764</v>
      </c>
      <c r="B30">
        <v>5282.7</v>
      </c>
      <c r="C30" cm="1">
        <f t="array" ref="C30">_xll.BDH("SPX Index",C$1,$A30,$A30)</f>
        <v>81.991</v>
      </c>
      <c r="D30" cm="1">
        <f t="array" ref="D30">_xll.BDH("SPX Index",D$1,$A30,$A30)</f>
        <v>84.777900000000002</v>
      </c>
      <c r="E30" cm="1">
        <f t="array" ref="E30">_xll.BDH("SPX Index",E$1,$A30,$A30)</f>
        <v>18.9725</v>
      </c>
      <c r="F30" cm="1">
        <f t="array" ref="F30">_xll.BDH("SPX Index",F$1,$A30,$A30)</f>
        <v>35.821800000000003</v>
      </c>
      <c r="G30" cm="1">
        <f t="array" ref="G30">_xll.BDH(_xlfn.CONCAT(G$1," INDEX"),"PX_LAST",$A30,$A30)</f>
        <v>3.9634999999999998</v>
      </c>
      <c r="H30" cm="1">
        <f t="array" ref="H30">_xll.BDH(_xlfn.CONCAT(H$1," INDEX"),"PX_LAST",$A30,$A30)</f>
        <v>27.15</v>
      </c>
    </row>
    <row r="31" spans="1:8" x14ac:dyDescent="0.25">
      <c r="A31" s="1">
        <v>45763</v>
      </c>
      <c r="B31">
        <v>5275.7</v>
      </c>
      <c r="C31" cm="1">
        <f t="array" ref="C31">_xll.BDH("SPX Index",C$1,$A31,$A31)</f>
        <v>81.997500000000002</v>
      </c>
      <c r="D31" cm="1">
        <f t="array" ref="D31">_xll.BDH("SPX Index",D$1,$A31,$A31)</f>
        <v>84.804299999999998</v>
      </c>
      <c r="E31" cm="1">
        <f t="array" ref="E31">_xll.BDH("SPX Index",E$1,$A31,$A31)</f>
        <v>19.0059</v>
      </c>
      <c r="F31" cm="1">
        <f t="array" ref="F31">_xll.BDH("SPX Index",F$1,$A31,$A31)</f>
        <v>35.821800000000003</v>
      </c>
      <c r="G31" cm="1">
        <f t="array" ref="G31">_xll.BDH(_xlfn.CONCAT(G$1," INDEX"),"PX_LAST",$A31,$A31)</f>
        <v>3.9432999999999998</v>
      </c>
      <c r="H31" cm="1">
        <f t="array" ref="H31">_xll.BDH(_xlfn.CONCAT(H$1," INDEX"),"PX_LAST",$A31,$A31)</f>
        <v>27.82</v>
      </c>
    </row>
    <row r="32" spans="1:8" x14ac:dyDescent="0.25">
      <c r="A32" s="1">
        <v>45762</v>
      </c>
      <c r="B32">
        <v>5396.63</v>
      </c>
      <c r="C32" cm="1">
        <f t="array" ref="C32">_xll.BDH("SPX Index",C$1,$A32,$A32)</f>
        <v>81.987700000000004</v>
      </c>
      <c r="D32" cm="1">
        <f t="array" ref="D32">_xll.BDH("SPX Index",D$1,$A32,$A32)</f>
        <v>84.792900000000003</v>
      </c>
      <c r="E32" cm="1">
        <f t="array" ref="E32">_xll.BDH("SPX Index",E$1,$A32,$A32)</f>
        <v>19.042200000000001</v>
      </c>
      <c r="F32" cm="1">
        <f t="array" ref="F32">_xll.BDH("SPX Index",F$1,$A32,$A32)</f>
        <v>35.821800000000003</v>
      </c>
      <c r="G32" cm="1">
        <f t="array" ref="G32">_xll.BDH(_xlfn.CONCAT(G$1," INDEX"),"PX_LAST",$A32,$A32)</f>
        <v>4.0018000000000002</v>
      </c>
      <c r="H32" cm="1">
        <f t="array" ref="H32">_xll.BDH(_xlfn.CONCAT(H$1," INDEX"),"PX_LAST",$A32,$A32)</f>
        <v>26.49</v>
      </c>
    </row>
    <row r="33" spans="1:8" x14ac:dyDescent="0.25">
      <c r="A33" s="1">
        <v>45761</v>
      </c>
      <c r="B33">
        <v>5405.97</v>
      </c>
      <c r="C33" cm="1">
        <f t="array" ref="C33">_xll.BDH("SPX Index",C$1,$A33,$A33)</f>
        <v>82.002200000000002</v>
      </c>
      <c r="D33" cm="1">
        <f t="array" ref="D33">_xll.BDH("SPX Index",D$1,$A33,$A33)</f>
        <v>84.798500000000004</v>
      </c>
      <c r="E33" cm="1">
        <f t="array" ref="E33">_xll.BDH("SPX Index",E$1,$A33,$A33)</f>
        <v>19.023499999999999</v>
      </c>
      <c r="F33" cm="1">
        <f t="array" ref="F33">_xll.BDH("SPX Index",F$1,$A33,$A33)</f>
        <v>35.821800000000003</v>
      </c>
      <c r="G33" cm="1">
        <f t="array" ref="G33">_xll.BDH(_xlfn.CONCAT(G$1," INDEX"),"PX_LAST",$A33,$A33)</f>
        <v>3.9860000000000002</v>
      </c>
      <c r="H33" cm="1">
        <f t="array" ref="H33">_xll.BDH(_xlfn.CONCAT(H$1," INDEX"),"PX_LAST",$A33,$A33)</f>
        <v>26.97</v>
      </c>
    </row>
    <row r="34" spans="1:8" x14ac:dyDescent="0.25">
      <c r="A34" s="1">
        <v>45758</v>
      </c>
      <c r="B34">
        <v>5363.36</v>
      </c>
      <c r="C34" cm="1">
        <f t="array" ref="C34">_xll.BDH("SPX Index",C$1,$A34,$A34)</f>
        <v>81.941800000000001</v>
      </c>
      <c r="D34" cm="1">
        <f t="array" ref="D34">_xll.BDH("SPX Index",D$1,$A34,$A34)</f>
        <v>84.687299999999993</v>
      </c>
      <c r="E34" cm="1">
        <f t="array" ref="E34">_xll.BDH("SPX Index",E$1,$A34,$A34)</f>
        <v>19.076000000000001</v>
      </c>
      <c r="F34" cm="1">
        <f t="array" ref="F34">_xll.BDH("SPX Index",F$1,$A34,$A34)</f>
        <v>35.821800000000003</v>
      </c>
      <c r="G34" cm="1">
        <f t="array" ref="G34">_xll.BDH(_xlfn.CONCAT(G$1," INDEX"),"PX_LAST",$A34,$A34)</f>
        <v>4.0157999999999996</v>
      </c>
      <c r="H34" cm="1">
        <f t="array" ref="H34">_xll.BDH(_xlfn.CONCAT(H$1," INDEX"),"PX_LAST",$A34,$A34)</f>
        <v>28.46</v>
      </c>
    </row>
    <row r="35" spans="1:8" x14ac:dyDescent="0.25">
      <c r="A35" s="1">
        <v>45757</v>
      </c>
      <c r="B35">
        <v>5268.05</v>
      </c>
      <c r="C35" cm="1">
        <f t="array" ref="C35">_xll.BDH("SPX Index",C$1,$A35,$A35)</f>
        <v>81.948099999999997</v>
      </c>
      <c r="D35" cm="1">
        <f t="array" ref="D35">_xll.BDH("SPX Index",D$1,$A35,$A35)</f>
        <v>84.668899999999994</v>
      </c>
      <c r="E35" cm="1">
        <f t="array" ref="E35">_xll.BDH("SPX Index",E$1,$A35,$A35)</f>
        <v>19.112500000000001</v>
      </c>
      <c r="F35" cm="1">
        <f t="array" ref="F35">_xll.BDH("SPX Index",F$1,$A35,$A35)</f>
        <v>35.821800000000003</v>
      </c>
      <c r="G35" cm="1">
        <f t="array" ref="G35">_xll.BDH(_xlfn.CONCAT(G$1," INDEX"),"PX_LAST",$A35,$A35)</f>
        <v>3.9659</v>
      </c>
      <c r="H35" cm="1">
        <f t="array" ref="H35">_xll.BDH(_xlfn.CONCAT(H$1," INDEX"),"PX_LAST",$A35,$A35)</f>
        <v>28.86</v>
      </c>
    </row>
    <row r="36" spans="1:8" x14ac:dyDescent="0.25">
      <c r="A36" s="1">
        <v>45756</v>
      </c>
      <c r="B36">
        <v>5456.9</v>
      </c>
      <c r="C36" cm="1">
        <f t="array" ref="C36">_xll.BDH("SPX Index",C$1,$A36,$A36)</f>
        <v>81.988299999999995</v>
      </c>
      <c r="D36" cm="1">
        <f t="array" ref="D36">_xll.BDH("SPX Index",D$1,$A36,$A36)</f>
        <v>84.670599999999993</v>
      </c>
      <c r="E36" cm="1">
        <f t="array" ref="E36">_xll.BDH("SPX Index",E$1,$A36,$A36)</f>
        <v>19.120899999999999</v>
      </c>
      <c r="F36" cm="1">
        <f t="array" ref="F36">_xll.BDH("SPX Index",F$1,$A36,$A36)</f>
        <v>35.821800000000003</v>
      </c>
      <c r="G36" cm="1">
        <f t="array" ref="G36">_xll.BDH(_xlfn.CONCAT(G$1," INDEX"),"PX_LAST",$A36,$A36)</f>
        <v>4.0358999999999998</v>
      </c>
      <c r="H36" cm="1">
        <f t="array" ref="H36">_xll.BDH(_xlfn.CONCAT(H$1," INDEX"),"PX_LAST",$A36,$A36)</f>
        <v>24.93</v>
      </c>
    </row>
    <row r="37" spans="1:8" x14ac:dyDescent="0.25">
      <c r="A37" s="1">
        <v>45755</v>
      </c>
      <c r="B37">
        <v>4982.7700000000004</v>
      </c>
      <c r="C37" cm="1">
        <f t="array" ref="C37">_xll.BDH("SPX Index",C$1,$A37,$A37)</f>
        <v>82.043300000000002</v>
      </c>
      <c r="D37" cm="1">
        <f t="array" ref="D37">_xll.BDH("SPX Index",D$1,$A37,$A37)</f>
        <v>84.680400000000006</v>
      </c>
      <c r="E37" cm="1">
        <f t="array" ref="E37">_xll.BDH("SPX Index",E$1,$A37,$A37)</f>
        <v>19.131</v>
      </c>
      <c r="F37" cm="1">
        <f t="array" ref="F37">_xll.BDH("SPX Index",F$1,$A37,$A37)</f>
        <v>35.821800000000003</v>
      </c>
      <c r="G37" cm="1">
        <f t="array" ref="G37">_xll.BDH(_xlfn.CONCAT(G$1," INDEX"),"PX_LAST",$A37,$A37)</f>
        <v>3.8620000000000001</v>
      </c>
      <c r="H37" cm="1">
        <f t="array" ref="H37">_xll.BDH(_xlfn.CONCAT(H$1," INDEX"),"PX_LAST",$A37,$A37)</f>
        <v>30.69</v>
      </c>
    </row>
    <row r="38" spans="1:8" x14ac:dyDescent="0.25">
      <c r="A38" s="1">
        <v>45754</v>
      </c>
      <c r="B38">
        <v>5062.25</v>
      </c>
      <c r="C38" cm="1">
        <f t="array" ref="C38">_xll.BDH("SPX Index",C$1,$A38,$A38)</f>
        <v>81.935100000000006</v>
      </c>
      <c r="D38" cm="1">
        <f t="array" ref="D38">_xll.BDH("SPX Index",D$1,$A38,$A38)</f>
        <v>84.558499999999995</v>
      </c>
      <c r="E38" cm="1">
        <f t="array" ref="E38">_xll.BDH("SPX Index",E$1,$A38,$A38)</f>
        <v>19.155799999999999</v>
      </c>
      <c r="F38" cm="1">
        <f t="array" ref="F38">_xll.BDH("SPX Index",F$1,$A38,$A38)</f>
        <v>35.821800000000003</v>
      </c>
      <c r="G38" cm="1">
        <f t="array" ref="G38">_xll.BDH(_xlfn.CONCAT(G$1," INDEX"),"PX_LAST",$A38,$A38)</f>
        <v>3.9024999999999999</v>
      </c>
      <c r="H38" cm="1">
        <f t="array" ref="H38">_xll.BDH(_xlfn.CONCAT(H$1," INDEX"),"PX_LAST",$A38,$A38)</f>
        <v>28.07</v>
      </c>
    </row>
    <row r="39" spans="1:8" x14ac:dyDescent="0.25">
      <c r="A39" s="1">
        <v>45751</v>
      </c>
      <c r="B39">
        <v>5074.08</v>
      </c>
      <c r="C39" cm="1">
        <f t="array" ref="C39">_xll.BDH("SPX Index",C$1,$A39,$A39)</f>
        <v>81.858800000000002</v>
      </c>
      <c r="D39" cm="1">
        <f t="array" ref="D39">_xll.BDH("SPX Index",D$1,$A39,$A39)</f>
        <v>84.595200000000006</v>
      </c>
      <c r="E39" cm="1">
        <f t="array" ref="E39">_xll.BDH("SPX Index",E$1,$A39,$A39)</f>
        <v>19.195599999999999</v>
      </c>
      <c r="F39" cm="1">
        <f t="array" ref="F39">_xll.BDH("SPX Index",F$1,$A39,$A39)</f>
        <v>35.821800000000003</v>
      </c>
      <c r="G39" cm="1">
        <f t="array" ref="G39">_xll.BDH(_xlfn.CONCAT(G$1," INDEX"),"PX_LAST",$A39,$A39)</f>
        <v>3.8252000000000002</v>
      </c>
      <c r="H39" cm="1">
        <f t="array" ref="H39">_xll.BDH(_xlfn.CONCAT(H$1," INDEX"),"PX_LAST",$A39,$A39)</f>
        <v>29.22</v>
      </c>
    </row>
    <row r="40" spans="1:8" x14ac:dyDescent="0.25">
      <c r="A40" s="1">
        <v>45750</v>
      </c>
      <c r="B40">
        <v>5396.52</v>
      </c>
      <c r="C40" cm="1">
        <f t="array" ref="C40">_xll.BDH("SPX Index",C$1,$A40,$A40)</f>
        <v>81.872600000000006</v>
      </c>
      <c r="D40" cm="1">
        <f t="array" ref="D40">_xll.BDH("SPX Index",D$1,$A40,$A40)</f>
        <v>84.571799999999996</v>
      </c>
      <c r="E40" cm="1">
        <f t="array" ref="E40">_xll.BDH("SPX Index",E$1,$A40,$A40)</f>
        <v>19.198599999999999</v>
      </c>
      <c r="F40" cm="1">
        <f t="array" ref="F40">_xll.BDH("SPX Index",F$1,$A40,$A40)</f>
        <v>35.821800000000003</v>
      </c>
      <c r="G40" cm="1">
        <f t="array" ref="G40">_xll.BDH(_xlfn.CONCAT(G$1," INDEX"),"PX_LAST",$A40,$A40)</f>
        <v>3.9064000000000001</v>
      </c>
      <c r="H40" cm="1">
        <f t="array" ref="H40">_xll.BDH(_xlfn.CONCAT(H$1," INDEX"),"PX_LAST",$A40,$A40)</f>
        <v>25.29</v>
      </c>
    </row>
    <row r="41" spans="1:8" x14ac:dyDescent="0.25">
      <c r="A41" s="1">
        <v>45749</v>
      </c>
      <c r="B41">
        <v>5670.97</v>
      </c>
      <c r="C41" cm="1">
        <f t="array" ref="C41">_xll.BDH("SPX Index",C$1,$A41,$A41)</f>
        <v>81.910200000000003</v>
      </c>
      <c r="D41" cm="1">
        <f t="array" ref="D41">_xll.BDH("SPX Index",D$1,$A41,$A41)</f>
        <v>84.647000000000006</v>
      </c>
      <c r="E41" cm="1">
        <f t="array" ref="E41">_xll.BDH("SPX Index",E$1,$A41,$A41)</f>
        <v>19.207100000000001</v>
      </c>
      <c r="F41" cm="1">
        <f t="array" ref="F41">_xll.BDH("SPX Index",F$1,$A41,$A41)</f>
        <v>35.821800000000003</v>
      </c>
      <c r="G41" cm="1">
        <f t="array" ref="G41">_xll.BDH(_xlfn.CONCAT(G$1," INDEX"),"PX_LAST",$A41,$A41)</f>
        <v>4.0031999999999996</v>
      </c>
      <c r="H41" cm="1">
        <f t="array" ref="H41">_xll.BDH(_xlfn.CONCAT(H$1," INDEX"),"PX_LAST",$A41,$A41)</f>
        <v>21.4</v>
      </c>
    </row>
    <row r="42" spans="1:8" x14ac:dyDescent="0.25">
      <c r="A42" s="1">
        <v>45748</v>
      </c>
      <c r="B42">
        <v>5633.07</v>
      </c>
      <c r="C42" cm="1">
        <f t="array" ref="C42">_xll.BDH("SPX Index",C$1,$A42,$A42)</f>
        <v>81.892099999999999</v>
      </c>
      <c r="D42" cm="1">
        <f t="array" ref="D42">_xll.BDH("SPX Index",D$1,$A42,$A42)</f>
        <v>84.647900000000007</v>
      </c>
      <c r="E42" cm="1">
        <f t="array" ref="E42">_xll.BDH("SPX Index",E$1,$A42,$A42)</f>
        <v>19.221800000000002</v>
      </c>
      <c r="F42" cm="1">
        <f t="array" ref="F42">_xll.BDH("SPX Index",F$1,$A42,$A42)</f>
        <v>35.821800000000003</v>
      </c>
      <c r="G42" cm="1">
        <f t="array" ref="G42">_xll.BDH(_xlfn.CONCAT(G$1," INDEX"),"PX_LAST",$A42,$A42)</f>
        <v>4.0061999999999998</v>
      </c>
      <c r="H42" cm="1">
        <f t="array" ref="H42">_xll.BDH(_xlfn.CONCAT(H$1," INDEX"),"PX_LAST",$A42,$A42)</f>
        <v>22.74</v>
      </c>
    </row>
    <row r="43" spans="1:8" x14ac:dyDescent="0.25">
      <c r="A43" s="1">
        <v>45747</v>
      </c>
      <c r="B43">
        <v>5611.85</v>
      </c>
      <c r="C43" cm="1">
        <f t="array" ref="C43">_xll.BDH("SPX Index",C$1,$A43,$A43)</f>
        <v>81.897900000000007</v>
      </c>
      <c r="D43" cm="1">
        <f t="array" ref="D43">_xll.BDH("SPX Index",D$1,$A43,$A43)</f>
        <v>84.640100000000004</v>
      </c>
      <c r="E43" cm="1">
        <f t="array" ref="E43">_xll.BDH("SPX Index",E$1,$A43,$A43)</f>
        <v>19.226400000000002</v>
      </c>
      <c r="F43" cm="1">
        <f t="array" ref="F43">_xll.BDH("SPX Index",F$1,$A43,$A43)</f>
        <v>35.822299999999998</v>
      </c>
      <c r="G43" cm="1">
        <f t="array" ref="G43">_xll.BDH(_xlfn.CONCAT(G$1," INDEX"),"PX_LAST",$A43,$A43)</f>
        <v>4.0199999999999996</v>
      </c>
      <c r="H43" cm="1">
        <f t="array" ref="H43">_xll.BDH(_xlfn.CONCAT(H$1," INDEX"),"PX_LAST",$A43,$A43)</f>
        <v>22.75</v>
      </c>
    </row>
    <row r="44" spans="1:8" x14ac:dyDescent="0.25">
      <c r="A44" s="1">
        <v>45744</v>
      </c>
      <c r="B44">
        <v>5580.94</v>
      </c>
      <c r="C44" cm="1">
        <f t="array" ref="C44">_xll.BDH("SPX Index",C$1,$A44,$A44)</f>
        <v>81.876800000000003</v>
      </c>
      <c r="D44" cm="1">
        <f t="array" ref="D44">_xll.BDH("SPX Index",D$1,$A44,$A44)</f>
        <v>84.622299999999996</v>
      </c>
      <c r="E44" cm="1">
        <f t="array" ref="E44">_xll.BDH("SPX Index",E$1,$A44,$A44)</f>
        <v>19.234100000000002</v>
      </c>
      <c r="F44" cm="1">
        <f t="array" ref="F44">_xll.BDH("SPX Index",F$1,$A44,$A44)</f>
        <v>35.822299999999998</v>
      </c>
      <c r="G44" cm="1">
        <f t="array" ref="G44">_xll.BDH(_xlfn.CONCAT(G$1," INDEX"),"PX_LAST",$A44,$A44)</f>
        <v>4.0311000000000003</v>
      </c>
      <c r="H44" cm="1">
        <f t="array" ref="H44">_xll.BDH(_xlfn.CONCAT(H$1," INDEX"),"PX_LAST",$A44,$A44)</f>
        <v>23.02</v>
      </c>
    </row>
    <row r="45" spans="1:8" x14ac:dyDescent="0.25">
      <c r="A45" s="1">
        <v>45743</v>
      </c>
      <c r="B45">
        <v>5693.31</v>
      </c>
      <c r="C45" cm="1">
        <f t="array" ref="C45">_xll.BDH("SPX Index",C$1,$A45,$A45)</f>
        <v>81.869799999999998</v>
      </c>
      <c r="D45" cm="1">
        <f t="array" ref="D45">_xll.BDH("SPX Index",D$1,$A45,$A45)</f>
        <v>84.663499999999999</v>
      </c>
      <c r="E45" cm="1">
        <f t="array" ref="E45">_xll.BDH("SPX Index",E$1,$A45,$A45)</f>
        <v>19.232099999999999</v>
      </c>
      <c r="F45" cm="1">
        <f t="array" ref="F45">_xll.BDH("SPX Index",F$1,$A45,$A45)</f>
        <v>35.822299999999998</v>
      </c>
      <c r="G45" cm="1">
        <f t="array" ref="G45">_xll.BDH(_xlfn.CONCAT(G$1," INDEX"),"PX_LAST",$A45,$A45)</f>
        <v>4.0938999999999997</v>
      </c>
      <c r="H45" cm="1">
        <f t="array" ref="H45">_xll.BDH(_xlfn.CONCAT(H$1," INDEX"),"PX_LAST",$A45,$A45)</f>
        <v>21.76</v>
      </c>
    </row>
    <row r="46" spans="1:8" x14ac:dyDescent="0.25">
      <c r="A46" s="1">
        <v>45742</v>
      </c>
      <c r="B46">
        <v>5712.2</v>
      </c>
      <c r="C46" cm="1">
        <f t="array" ref="C46">_xll.BDH("SPX Index",C$1,$A46,$A46)</f>
        <v>81.844899999999996</v>
      </c>
      <c r="D46" cm="1">
        <f t="array" ref="D46">_xll.BDH("SPX Index",D$1,$A46,$A46)</f>
        <v>84.668700000000001</v>
      </c>
      <c r="E46" cm="1">
        <f t="array" ref="E46">_xll.BDH("SPX Index",E$1,$A46,$A46)</f>
        <v>19.251300000000001</v>
      </c>
      <c r="F46" cm="1">
        <f t="array" ref="F46">_xll.BDH("SPX Index",F$1,$A46,$A46)</f>
        <v>35.823900000000002</v>
      </c>
      <c r="G46" cm="1">
        <f t="array" ref="G46">_xll.BDH(_xlfn.CONCAT(G$1," INDEX"),"PX_LAST",$A46,$A46)</f>
        <v>4.0968999999999998</v>
      </c>
      <c r="H46" cm="1">
        <f t="array" ref="H46">_xll.BDH(_xlfn.CONCAT(H$1," INDEX"),"PX_LAST",$A46,$A46)</f>
        <v>21.79</v>
      </c>
    </row>
    <row r="47" spans="1:8" x14ac:dyDescent="0.25">
      <c r="A47" s="1">
        <v>45741</v>
      </c>
      <c r="B47">
        <v>5776.65</v>
      </c>
      <c r="C47" cm="1">
        <f t="array" ref="C47">_xll.BDH("SPX Index",C$1,$A47,$A47)</f>
        <v>81.793000000000006</v>
      </c>
      <c r="D47" cm="1">
        <f t="array" ref="D47">_xll.BDH("SPX Index",D$1,$A47,$A47)</f>
        <v>84.665099999999995</v>
      </c>
      <c r="E47" cm="1">
        <f t="array" ref="E47">_xll.BDH("SPX Index",E$1,$A47,$A47)</f>
        <v>19.2789</v>
      </c>
      <c r="F47" cm="1">
        <f t="array" ref="F47">_xll.BDH("SPX Index",F$1,$A47,$A47)</f>
        <v>35.745800000000003</v>
      </c>
      <c r="G47" cm="1">
        <f t="array" ref="G47">_xll.BDH(_xlfn.CONCAT(G$1," INDEX"),"PX_LAST",$A47,$A47)</f>
        <v>4.0838000000000001</v>
      </c>
      <c r="H47" cm="1">
        <f t="array" ref="H47">_xll.BDH(_xlfn.CONCAT(H$1," INDEX"),"PX_LAST",$A47,$A47)</f>
        <v>21.1</v>
      </c>
    </row>
    <row r="48" spans="1:8" x14ac:dyDescent="0.25">
      <c r="A48" s="1">
        <v>45740</v>
      </c>
      <c r="B48">
        <v>5767.57</v>
      </c>
      <c r="C48" cm="1">
        <f t="array" ref="C48">_xll.BDH("SPX Index",C$1,$A48,$A48)</f>
        <v>81.8626</v>
      </c>
      <c r="D48" cm="1">
        <f t="array" ref="D48">_xll.BDH("SPX Index",D$1,$A48,$A48)</f>
        <v>84.754000000000005</v>
      </c>
      <c r="E48" cm="1">
        <f t="array" ref="E48">_xll.BDH("SPX Index",E$1,$A48,$A48)</f>
        <v>19.271000000000001</v>
      </c>
      <c r="F48" cm="1">
        <f t="array" ref="F48">_xll.BDH("SPX Index",F$1,$A48,$A48)</f>
        <v>35.745899999999999</v>
      </c>
      <c r="G48" cm="1">
        <f t="array" ref="G48">_xll.BDH(_xlfn.CONCAT(G$1," INDEX"),"PX_LAST",$A48,$A48)</f>
        <v>4.1029999999999998</v>
      </c>
      <c r="H48" cm="1">
        <f t="array" ref="H48">_xll.BDH(_xlfn.CONCAT(H$1," INDEX"),"PX_LAST",$A48,$A48)</f>
        <v>21.17</v>
      </c>
    </row>
    <row r="49" spans="1:8" x14ac:dyDescent="0.25">
      <c r="A49" s="1">
        <v>45737</v>
      </c>
      <c r="B49">
        <v>5667.56</v>
      </c>
      <c r="C49" cm="1">
        <f t="array" ref="C49">_xll.BDH("SPX Index",C$1,$A49,$A49)</f>
        <v>81.855599999999995</v>
      </c>
      <c r="D49" cm="1">
        <f t="array" ref="D49">_xll.BDH("SPX Index",D$1,$A49,$A49)</f>
        <v>84.677599999999998</v>
      </c>
      <c r="E49" cm="1">
        <f t="array" ref="E49">_xll.BDH("SPX Index",E$1,$A49,$A49)</f>
        <v>19.263300000000001</v>
      </c>
      <c r="F49" cm="1">
        <f t="array" ref="F49">_xll.BDH("SPX Index",F$1,$A49,$A49)</f>
        <v>35.7455</v>
      </c>
      <c r="G49" cm="1">
        <f t="array" ref="G49">_xll.BDH(_xlfn.CONCAT(G$1," INDEX"),"PX_LAST",$A49,$A49)</f>
        <v>4.0307000000000004</v>
      </c>
      <c r="H49" cm="1">
        <f t="array" ref="H49">_xll.BDH(_xlfn.CONCAT(H$1," INDEX"),"PX_LAST",$A49,$A49)</f>
        <v>21.82</v>
      </c>
    </row>
    <row r="50" spans="1:8" x14ac:dyDescent="0.25">
      <c r="A50" s="1">
        <v>45736</v>
      </c>
      <c r="B50">
        <v>5662.89</v>
      </c>
      <c r="C50" cm="1">
        <f t="array" ref="C50">_xll.BDH("SPX Index",C$1,$A50,$A50)</f>
        <v>81.878100000000003</v>
      </c>
      <c r="D50" cm="1">
        <f t="array" ref="D50">_xll.BDH("SPX Index",D$1,$A50,$A50)</f>
        <v>84.680899999999994</v>
      </c>
      <c r="E50" cm="1">
        <f t="array" ref="E50">_xll.BDH("SPX Index",E$1,$A50,$A50)</f>
        <v>19.270700000000001</v>
      </c>
      <c r="F50" cm="1">
        <f t="array" ref="F50">_xll.BDH("SPX Index",F$1,$A50,$A50)</f>
        <v>35.7455</v>
      </c>
      <c r="G50" cm="1">
        <f t="array" ref="G50">_xll.BDH(_xlfn.CONCAT(G$1," INDEX"),"PX_LAST",$A50,$A50)</f>
        <v>4.0559000000000003</v>
      </c>
      <c r="H50" cm="1">
        <f t="array" ref="H50">_xll.BDH(_xlfn.CONCAT(H$1," INDEX"),"PX_LAST",$A50,$A50)</f>
        <v>22.07</v>
      </c>
    </row>
    <row r="51" spans="1:8" x14ac:dyDescent="0.25">
      <c r="A51" s="1">
        <v>45735</v>
      </c>
      <c r="B51">
        <v>5675.29</v>
      </c>
      <c r="C51" cm="1">
        <f t="array" ref="C51">_xll.BDH("SPX Index",C$1,$A51,$A51)</f>
        <v>81.876499999999993</v>
      </c>
      <c r="D51" cm="1">
        <f t="array" ref="D51">_xll.BDH("SPX Index",D$1,$A51,$A51)</f>
        <v>84.706800000000001</v>
      </c>
      <c r="E51" cm="1">
        <f t="array" ref="E51">_xll.BDH("SPX Index",E$1,$A51,$A51)</f>
        <v>19.284700000000001</v>
      </c>
      <c r="F51" cm="1">
        <f t="array" ref="F51">_xll.BDH("SPX Index",F$1,$A51,$A51)</f>
        <v>35.7455</v>
      </c>
      <c r="G51" cm="1">
        <f t="array" ref="G51">_xll.BDH(_xlfn.CONCAT(G$1," INDEX"),"PX_LAST",$A51,$A51)</f>
        <v>4.0777999999999999</v>
      </c>
      <c r="H51" cm="1">
        <f t="array" ref="H51">_xll.BDH(_xlfn.CONCAT(H$1," INDEX"),"PX_LAST",$A51,$A51)</f>
        <v>22.2</v>
      </c>
    </row>
    <row r="52" spans="1:8" x14ac:dyDescent="0.25">
      <c r="A52" s="1">
        <v>45734</v>
      </c>
      <c r="B52">
        <v>5614.66</v>
      </c>
      <c r="C52" cm="1">
        <f t="array" ref="C52">_xll.BDH("SPX Index",C$1,$A52,$A52)</f>
        <v>81.854200000000006</v>
      </c>
      <c r="D52" cm="1">
        <f t="array" ref="D52">_xll.BDH("SPX Index",D$1,$A52,$A52)</f>
        <v>84.696200000000005</v>
      </c>
      <c r="E52" cm="1">
        <f t="array" ref="E52">_xll.BDH("SPX Index",E$1,$A52,$A52)</f>
        <v>19.2865</v>
      </c>
      <c r="F52" cm="1">
        <f t="array" ref="F52">_xll.BDH("SPX Index",F$1,$A52,$A52)</f>
        <v>35.7455</v>
      </c>
      <c r="G52" cm="1">
        <f t="array" ref="G52">_xll.BDH(_xlfn.CONCAT(G$1," INDEX"),"PX_LAST",$A52,$A52)</f>
        <v>4.1223999999999998</v>
      </c>
      <c r="H52" cm="1">
        <f t="array" ref="H52">_xll.BDH(_xlfn.CONCAT(H$1," INDEX"),"PX_LAST",$A52,$A52)</f>
        <v>22.63</v>
      </c>
    </row>
    <row r="53" spans="1:8" x14ac:dyDescent="0.25">
      <c r="A53" s="1">
        <v>45733</v>
      </c>
      <c r="B53">
        <v>5675.12</v>
      </c>
      <c r="C53" cm="1">
        <f t="array" ref="C53">_xll.BDH("SPX Index",C$1,$A53,$A53)</f>
        <v>81.863299999999995</v>
      </c>
      <c r="D53" cm="1">
        <f t="array" ref="D53">_xll.BDH("SPX Index",D$1,$A53,$A53)</f>
        <v>84.735900000000001</v>
      </c>
      <c r="E53" cm="1">
        <f t="array" ref="E53">_xll.BDH("SPX Index",E$1,$A53,$A53)</f>
        <v>19.296399999999998</v>
      </c>
      <c r="F53" cm="1">
        <f t="array" ref="F53">_xll.BDH("SPX Index",F$1,$A53,$A53)</f>
        <v>35.7455</v>
      </c>
      <c r="G53" cm="1">
        <f t="array" ref="G53">_xll.BDH(_xlfn.CONCAT(G$1," INDEX"),"PX_LAST",$A53,$A53)</f>
        <v>4.1013000000000002</v>
      </c>
      <c r="H53" cm="1">
        <f t="array" ref="H53">_xll.BDH(_xlfn.CONCAT(H$1," INDEX"),"PX_LAST",$A53,$A53)</f>
        <v>22.19</v>
      </c>
    </row>
    <row r="54" spans="1:8" x14ac:dyDescent="0.25">
      <c r="A54" s="1">
        <v>45730</v>
      </c>
      <c r="B54">
        <v>5638.94</v>
      </c>
      <c r="C54" cm="1">
        <f t="array" ref="C54">_xll.BDH("SPX Index",C$1,$A54,$A54)</f>
        <v>81.866900000000001</v>
      </c>
      <c r="D54" cm="1">
        <f t="array" ref="D54">_xll.BDH("SPX Index",D$1,$A54,$A54)</f>
        <v>84.755399999999995</v>
      </c>
      <c r="E54" cm="1">
        <f t="array" ref="E54">_xll.BDH("SPX Index",E$1,$A54,$A54)</f>
        <v>19.304400000000001</v>
      </c>
      <c r="F54" cm="1">
        <f t="array" ref="F54">_xll.BDH("SPX Index",F$1,$A54,$A54)</f>
        <v>35.745600000000003</v>
      </c>
      <c r="G54" cm="1">
        <f t="array" ref="G54">_xll.BDH(_xlfn.CONCAT(G$1," INDEX"),"PX_LAST",$A54,$A54)</f>
        <v>4.0720999999999998</v>
      </c>
      <c r="H54" cm="1">
        <f t="array" ref="H54">_xll.BDH(_xlfn.CONCAT(H$1," INDEX"),"PX_LAST",$A54,$A54)</f>
        <v>22.7</v>
      </c>
    </row>
    <row r="55" spans="1:8" x14ac:dyDescent="0.25">
      <c r="A55" s="1">
        <v>45729</v>
      </c>
      <c r="B55">
        <v>5521.52</v>
      </c>
      <c r="C55" cm="1">
        <f t="array" ref="C55">_xll.BDH("SPX Index",C$1,$A55,$A55)</f>
        <v>81.890799999999999</v>
      </c>
      <c r="D55" cm="1">
        <f t="array" ref="D55">_xll.BDH("SPX Index",D$1,$A55,$A55)</f>
        <v>84.759600000000006</v>
      </c>
      <c r="E55" cm="1">
        <f t="array" ref="E55">_xll.BDH("SPX Index",E$1,$A55,$A55)</f>
        <v>19.304600000000001</v>
      </c>
      <c r="F55" cm="1">
        <f t="array" ref="F55">_xll.BDH("SPX Index",F$1,$A55,$A55)</f>
        <v>35.771700000000003</v>
      </c>
      <c r="G55" cm="1">
        <f t="array" ref="G55">_xll.BDH(_xlfn.CONCAT(G$1," INDEX"),"PX_LAST",$A55,$A55)</f>
        <v>4.0274999999999999</v>
      </c>
      <c r="H55" cm="1">
        <f t="array" ref="H55">_xll.BDH(_xlfn.CONCAT(H$1," INDEX"),"PX_LAST",$A55,$A55)</f>
        <v>23.67</v>
      </c>
    </row>
    <row r="56" spans="1:8" x14ac:dyDescent="0.25">
      <c r="A56" s="1">
        <v>45728</v>
      </c>
      <c r="B56">
        <v>5599.3</v>
      </c>
      <c r="C56" cm="1">
        <f t="array" ref="C56">_xll.BDH("SPX Index",C$1,$A56,$A56)</f>
        <v>81.847499999999997</v>
      </c>
      <c r="D56" cm="1">
        <f t="array" ref="D56">_xll.BDH("SPX Index",D$1,$A56,$A56)</f>
        <v>84.905500000000004</v>
      </c>
      <c r="E56" cm="1">
        <f t="array" ref="E56">_xll.BDH("SPX Index",E$1,$A56,$A56)</f>
        <v>19.310400000000001</v>
      </c>
      <c r="F56" cm="1">
        <f t="array" ref="F56">_xll.BDH("SPX Index",F$1,$A56,$A56)</f>
        <v>35.671799999999998</v>
      </c>
      <c r="G56" cm="1">
        <f t="array" ref="G56">_xll.BDH(_xlfn.CONCAT(G$1," INDEX"),"PX_LAST",$A56,$A56)</f>
        <v>4.0519999999999996</v>
      </c>
      <c r="H56" cm="1">
        <f t="array" ref="H56">_xll.BDH(_xlfn.CONCAT(H$1," INDEX"),"PX_LAST",$A56,$A56)</f>
        <v>23.55</v>
      </c>
    </row>
    <row r="57" spans="1:8" x14ac:dyDescent="0.25">
      <c r="A57" s="1">
        <v>45727</v>
      </c>
      <c r="B57">
        <v>5572.07</v>
      </c>
      <c r="C57" cm="1">
        <f t="array" ref="C57">_xll.BDH("SPX Index",C$1,$A57,$A57)</f>
        <v>81.858400000000003</v>
      </c>
      <c r="D57" cm="1">
        <f t="array" ref="D57">_xll.BDH("SPX Index",D$1,$A57,$A57)</f>
        <v>84.921800000000005</v>
      </c>
      <c r="E57" cm="1">
        <f t="array" ref="E57">_xll.BDH("SPX Index",E$1,$A57,$A57)</f>
        <v>19.323399999999999</v>
      </c>
      <c r="F57" cm="1">
        <f t="array" ref="F57">_xll.BDH("SPX Index",F$1,$A57,$A57)</f>
        <v>35.670200000000001</v>
      </c>
      <c r="G57" cm="1">
        <f t="array" ref="G57">_xll.BDH(_xlfn.CONCAT(G$1," INDEX"),"PX_LAST",$A57,$A57)</f>
        <v>4.0255000000000001</v>
      </c>
      <c r="H57" cm="1">
        <f t="array" ref="H57">_xll.BDH(_xlfn.CONCAT(H$1," INDEX"),"PX_LAST",$A57,$A57)</f>
        <v>24.39</v>
      </c>
    </row>
    <row r="58" spans="1:8" x14ac:dyDescent="0.25">
      <c r="A58" s="1">
        <v>45726</v>
      </c>
      <c r="B58">
        <v>5614.56</v>
      </c>
      <c r="C58" cm="1">
        <f t="array" ref="C58">_xll.BDH("SPX Index",C$1,$A58,$A58)</f>
        <v>81.820499999999996</v>
      </c>
      <c r="D58" cm="1">
        <f t="array" ref="D58">_xll.BDH("SPX Index",D$1,$A58,$A58)</f>
        <v>84.895200000000003</v>
      </c>
      <c r="E58" cm="1">
        <f t="array" ref="E58">_xll.BDH("SPX Index",E$1,$A58,$A58)</f>
        <v>19.328800000000001</v>
      </c>
      <c r="F58" cm="1">
        <f t="array" ref="F58">_xll.BDH("SPX Index",F$1,$A58,$A58)</f>
        <v>35.670099999999998</v>
      </c>
      <c r="G58" cm="1">
        <f t="array" ref="G58">_xll.BDH(_xlfn.CONCAT(G$1," INDEX"),"PX_LAST",$A58,$A58)</f>
        <v>3.9802</v>
      </c>
      <c r="H58" cm="1">
        <f t="array" ref="H58">_xll.BDH(_xlfn.CONCAT(H$1," INDEX"),"PX_LAST",$A58,$A58)</f>
        <v>23.8</v>
      </c>
    </row>
    <row r="59" spans="1:8" x14ac:dyDescent="0.25">
      <c r="A59" s="1">
        <v>45723</v>
      </c>
      <c r="B59">
        <v>5770.2</v>
      </c>
      <c r="C59" cm="1">
        <f t="array" ref="C59">_xll.BDH("SPX Index",C$1,$A59,$A59)</f>
        <v>81.772499999999994</v>
      </c>
      <c r="D59" cm="1">
        <f t="array" ref="D59">_xll.BDH("SPX Index",D$1,$A59,$A59)</f>
        <v>84.915899999999993</v>
      </c>
      <c r="E59" cm="1">
        <f t="array" ref="E59">_xll.BDH("SPX Index",E$1,$A59,$A59)</f>
        <v>19.3294</v>
      </c>
      <c r="F59" cm="1">
        <f t="array" ref="F59">_xll.BDH("SPX Index",F$1,$A59,$A59)</f>
        <v>35.67</v>
      </c>
      <c r="G59" cm="1">
        <f t="array" ref="G59">_xll.BDH(_xlfn.CONCAT(G$1," INDEX"),"PX_LAST",$A59,$A59)</f>
        <v>4.0449000000000002</v>
      </c>
      <c r="H59" cm="1">
        <f t="array" ref="H59">_xll.BDH(_xlfn.CONCAT(H$1," INDEX"),"PX_LAST",$A59,$A59)</f>
        <v>22.49</v>
      </c>
    </row>
    <row r="60" spans="1:8" x14ac:dyDescent="0.25">
      <c r="A60" s="1">
        <v>45722</v>
      </c>
      <c r="B60">
        <v>5738.52</v>
      </c>
      <c r="C60" cm="1">
        <f t="array" ref="C60">_xll.BDH("SPX Index",C$1,$A60,$A60)</f>
        <v>81.766499999999994</v>
      </c>
      <c r="D60" cm="1">
        <f t="array" ref="D60">_xll.BDH("SPX Index",D$1,$A60,$A60)</f>
        <v>84.922200000000004</v>
      </c>
      <c r="E60" cm="1">
        <f t="array" ref="E60">_xll.BDH("SPX Index",E$1,$A60,$A60)</f>
        <v>19.3216</v>
      </c>
      <c r="F60" cm="1">
        <f t="array" ref="F60">_xll.BDH("SPX Index",F$1,$A60,$A60)</f>
        <v>35.669800000000002</v>
      </c>
      <c r="G60" cm="1">
        <f t="array" ref="G60">_xll.BDH(_xlfn.CONCAT(G$1," INDEX"),"PX_LAST",$A60,$A60)</f>
        <v>4.0163000000000002</v>
      </c>
      <c r="H60" cm="1">
        <f t="array" ref="H60">_xll.BDH(_xlfn.CONCAT(H$1," INDEX"),"PX_LAST",$A60,$A60)</f>
        <v>22.69</v>
      </c>
    </row>
    <row r="61" spans="1:8" x14ac:dyDescent="0.25">
      <c r="A61" s="1">
        <v>45721</v>
      </c>
      <c r="B61">
        <v>5842.63</v>
      </c>
      <c r="C61" cm="1">
        <f t="array" ref="C61">_xll.BDH("SPX Index",C$1,$A61,$A61)</f>
        <v>81.729900000000001</v>
      </c>
      <c r="D61" cm="1">
        <f t="array" ref="D61">_xll.BDH("SPX Index",D$1,$A61,$A61)</f>
        <v>84.918000000000006</v>
      </c>
      <c r="E61" cm="1">
        <f t="array" ref="E61">_xll.BDH("SPX Index",E$1,$A61,$A61)</f>
        <v>19.303799999999999</v>
      </c>
      <c r="F61" cm="1">
        <f t="array" ref="F61">_xll.BDH("SPX Index",F$1,$A61,$A61)</f>
        <v>35.6922</v>
      </c>
      <c r="G61" cm="1">
        <f t="array" ref="G61">_xll.BDH(_xlfn.CONCAT(G$1," INDEX"),"PX_LAST",$A61,$A61)</f>
        <v>4.0650000000000004</v>
      </c>
      <c r="H61" cm="1">
        <f t="array" ref="H61">_xll.BDH(_xlfn.CONCAT(H$1," INDEX"),"PX_LAST",$A61,$A61)</f>
        <v>21.95</v>
      </c>
    </row>
    <row r="62" spans="1:8" x14ac:dyDescent="0.25">
      <c r="A62" s="1">
        <v>45720</v>
      </c>
      <c r="B62">
        <v>5778.15</v>
      </c>
      <c r="C62" cm="1">
        <f t="array" ref="C62">_xll.BDH("SPX Index",C$1,$A62,$A62)</f>
        <v>81.707999999999998</v>
      </c>
      <c r="D62" cm="1">
        <f t="array" ref="D62">_xll.BDH("SPX Index",D$1,$A62,$A62)</f>
        <v>84.851299999999995</v>
      </c>
      <c r="E62" cm="1">
        <f t="array" ref="E62">_xll.BDH("SPX Index",E$1,$A62,$A62)</f>
        <v>19.320399999999999</v>
      </c>
      <c r="F62" cm="1">
        <f t="array" ref="F62">_xll.BDH("SPX Index",F$1,$A62,$A62)</f>
        <v>35.6708</v>
      </c>
      <c r="G62" cm="1">
        <f t="array" ref="G62">_xll.BDH(_xlfn.CONCAT(G$1," INDEX"),"PX_LAST",$A62,$A62)</f>
        <v>4.0598999999999998</v>
      </c>
      <c r="H62" cm="1">
        <f t="array" ref="H62">_xll.BDH(_xlfn.CONCAT(H$1," INDEX"),"PX_LAST",$A62,$A62)</f>
        <v>22.29</v>
      </c>
    </row>
    <row r="63" spans="1:8" x14ac:dyDescent="0.25">
      <c r="A63" s="1">
        <v>45719</v>
      </c>
      <c r="B63">
        <v>5849.72</v>
      </c>
      <c r="C63" cm="1">
        <f t="array" ref="C63">_xll.BDH("SPX Index",C$1,$A63,$A63)</f>
        <v>81.733500000000006</v>
      </c>
      <c r="D63" cm="1">
        <f t="array" ref="D63">_xll.BDH("SPX Index",D$1,$A63,$A63)</f>
        <v>84.838200000000001</v>
      </c>
      <c r="E63" cm="1">
        <f t="array" ref="E63">_xll.BDH("SPX Index",E$1,$A63,$A63)</f>
        <v>19.3261</v>
      </c>
      <c r="F63" cm="1">
        <f t="array" ref="F63">_xll.BDH("SPX Index",F$1,$A63,$A63)</f>
        <v>35.664700000000003</v>
      </c>
      <c r="G63" cm="1">
        <f t="array" ref="G63">_xll.BDH(_xlfn.CONCAT(G$1," INDEX"),"PX_LAST",$A63,$A63)</f>
        <v>4.0388000000000002</v>
      </c>
      <c r="H63" cm="1">
        <f t="array" ref="H63">_xll.BDH(_xlfn.CONCAT(H$1," INDEX"),"PX_LAST",$A63,$A63)</f>
        <v>22.03</v>
      </c>
    </row>
    <row r="64" spans="1:8" x14ac:dyDescent="0.25">
      <c r="A64" s="1">
        <v>45716</v>
      </c>
      <c r="B64">
        <v>5954.5</v>
      </c>
      <c r="C64" cm="1">
        <f t="array" ref="C64">_xll.BDH("SPX Index",C$1,$A64,$A64)</f>
        <v>80.200599999999994</v>
      </c>
      <c r="D64" cm="1">
        <f t="array" ref="D64">_xll.BDH("SPX Index",D$1,$A64,$A64)</f>
        <v>84.869100000000003</v>
      </c>
      <c r="E64" cm="1">
        <f t="array" ref="E64">_xll.BDH("SPX Index",E$1,$A64,$A64)</f>
        <v>19.364699999999999</v>
      </c>
      <c r="F64" cm="1">
        <f t="array" ref="F64">_xll.BDH("SPX Index",F$1,$A64,$A64)</f>
        <v>35.517699999999998</v>
      </c>
      <c r="G64" cm="1">
        <f t="array" ref="G64">_xll.BDH(_xlfn.CONCAT(G$1," INDEX"),"PX_LAST",$A64,$A64)</f>
        <v>4.0820999999999996</v>
      </c>
      <c r="H64" cm="1">
        <f t="array" ref="H64">_xll.BDH(_xlfn.CONCAT(H$1," INDEX"),"PX_LAST",$A64,$A64)</f>
        <v>21.3</v>
      </c>
    </row>
    <row r="65" spans="1:8" x14ac:dyDescent="0.25">
      <c r="A65" s="1">
        <v>45715</v>
      </c>
      <c r="B65">
        <v>5861.57</v>
      </c>
      <c r="C65" cm="1">
        <f t="array" ref="C65">_xll.BDH("SPX Index",C$1,$A65,$A65)</f>
        <v>80.238799999999998</v>
      </c>
      <c r="D65" cm="1">
        <f t="array" ref="D65">_xll.BDH("SPX Index",D$1,$A65,$A65)</f>
        <v>84.900199999999998</v>
      </c>
      <c r="E65" cm="1">
        <f t="array" ref="E65">_xll.BDH("SPX Index",E$1,$A65,$A65)</f>
        <v>19.3643</v>
      </c>
      <c r="F65" cm="1">
        <f t="array" ref="F65">_xll.BDH("SPX Index",F$1,$A65,$A65)</f>
        <v>35.528199999999998</v>
      </c>
      <c r="G65" cm="1">
        <f t="array" ref="G65">_xll.BDH(_xlfn.CONCAT(G$1," INDEX"),"PX_LAST",$A65,$A65)</f>
        <v>4.1073000000000004</v>
      </c>
      <c r="H65" cm="1">
        <f t="array" ref="H65">_xll.BDH(_xlfn.CONCAT(H$1," INDEX"),"PX_LAST",$A65,$A65)</f>
        <v>22.13</v>
      </c>
    </row>
    <row r="66" spans="1:8" x14ac:dyDescent="0.25">
      <c r="A66" s="1">
        <v>45714</v>
      </c>
      <c r="B66">
        <v>5956.06</v>
      </c>
      <c r="C66" cm="1">
        <f t="array" ref="C66">_xll.BDH("SPX Index",C$1,$A66,$A66)</f>
        <v>80.212100000000007</v>
      </c>
      <c r="D66" cm="1">
        <f t="array" ref="D66">_xll.BDH("SPX Index",D$1,$A66,$A66)</f>
        <v>84.891999999999996</v>
      </c>
      <c r="E66" cm="1">
        <f t="array" ref="E66">_xll.BDH("SPX Index",E$1,$A66,$A66)</f>
        <v>19.352</v>
      </c>
      <c r="F66" cm="1">
        <f t="array" ref="F66">_xll.BDH("SPX Index",F$1,$A66,$A66)</f>
        <v>35.4617</v>
      </c>
      <c r="G66" cm="1">
        <f t="array" ref="G66">_xll.BDH(_xlfn.CONCAT(G$1," INDEX"),"PX_LAST",$A66,$A66)</f>
        <v>4.1104000000000003</v>
      </c>
      <c r="H66" cm="1">
        <f t="array" ref="H66">_xll.BDH(_xlfn.CONCAT(H$1," INDEX"),"PX_LAST",$A66,$A66)</f>
        <v>21.27</v>
      </c>
    </row>
    <row r="67" spans="1:8" x14ac:dyDescent="0.25">
      <c r="A67" s="1">
        <v>45713</v>
      </c>
      <c r="B67">
        <v>5955.25</v>
      </c>
      <c r="C67" cm="1">
        <f t="array" ref="C67">_xll.BDH("SPX Index",C$1,$A67,$A67)</f>
        <v>75.754000000000005</v>
      </c>
      <c r="D67" cm="1">
        <f t="array" ref="D67">_xll.BDH("SPX Index",D$1,$A67,$A67)</f>
        <v>80.154899999999998</v>
      </c>
      <c r="E67" cm="1">
        <f t="array" ref="E67">_xll.BDH("SPX Index",E$1,$A67,$A67)</f>
        <v>18.2483</v>
      </c>
      <c r="F67" cm="1">
        <f t="array" ref="F67">_xll.BDH("SPX Index",F$1,$A67,$A67)</f>
        <v>37.240699999999997</v>
      </c>
      <c r="G67" cm="1">
        <f t="array" ref="G67">_xll.BDH(_xlfn.CONCAT(G$1," INDEX"),"PX_LAST",$A67,$A67)</f>
        <v>4.1134000000000004</v>
      </c>
      <c r="H67" cm="1">
        <f t="array" ref="H67">_xll.BDH(_xlfn.CONCAT(H$1," INDEX"),"PX_LAST",$A67,$A67)</f>
        <v>21.39</v>
      </c>
    </row>
    <row r="68" spans="1:8" x14ac:dyDescent="0.25">
      <c r="A68" s="1">
        <v>45712</v>
      </c>
      <c r="B68">
        <v>5983.25</v>
      </c>
      <c r="C68" cm="1">
        <f t="array" ref="C68">_xll.BDH("SPX Index",C$1,$A68,$A68)</f>
        <v>75.808700000000002</v>
      </c>
      <c r="D68" cm="1">
        <f t="array" ref="D68">_xll.BDH("SPX Index",D$1,$A68,$A68)</f>
        <v>80.152299999999997</v>
      </c>
      <c r="E68" cm="1">
        <f t="array" ref="E68">_xll.BDH("SPX Index",E$1,$A68,$A68)</f>
        <v>18.229600000000001</v>
      </c>
      <c r="F68" cm="1">
        <f t="array" ref="F68">_xll.BDH("SPX Index",F$1,$A68,$A68)</f>
        <v>37.2395</v>
      </c>
      <c r="G68" cm="1">
        <f t="array" ref="G68">_xll.BDH(_xlfn.CONCAT(G$1," INDEX"),"PX_LAST",$A68,$A68)</f>
        <v>4.1433999999999997</v>
      </c>
      <c r="H68" cm="1">
        <f t="array" ref="H68">_xll.BDH(_xlfn.CONCAT(H$1," INDEX"),"PX_LAST",$A68,$A68)</f>
        <v>21.34</v>
      </c>
    </row>
    <row r="69" spans="1:8" x14ac:dyDescent="0.25">
      <c r="A69" s="1">
        <v>45709</v>
      </c>
      <c r="B69">
        <v>6013.13</v>
      </c>
      <c r="C69" cm="1">
        <f t="array" ref="C69">_xll.BDH("SPX Index",C$1,$A69,$A69)</f>
        <v>77.125699999999995</v>
      </c>
      <c r="D69" cm="1">
        <f t="array" ref="D69">_xll.BDH("SPX Index",D$1,$A69,$A69)</f>
        <v>80.180599999999998</v>
      </c>
      <c r="E69" cm="1">
        <f t="array" ref="E69">_xll.BDH("SPX Index",E$1,$A69,$A69)</f>
        <v>17.962</v>
      </c>
      <c r="F69" cm="1">
        <f t="array" ref="F69">_xll.BDH("SPX Index",F$1,$A69,$A69)</f>
        <v>37.2395</v>
      </c>
      <c r="G69" cm="1">
        <f t="array" ref="G69">_xll.BDH(_xlfn.CONCAT(G$1," INDEX"),"PX_LAST",$A69,$A69)</f>
        <v>4.1490999999999998</v>
      </c>
      <c r="H69" cm="1">
        <f t="array" ref="H69">_xll.BDH(_xlfn.CONCAT(H$1," INDEX"),"PX_LAST",$A69,$A69)</f>
        <v>21.26</v>
      </c>
    </row>
    <row r="70" spans="1:8" x14ac:dyDescent="0.25">
      <c r="A70" s="1">
        <v>45708</v>
      </c>
      <c r="B70">
        <v>6117.52</v>
      </c>
      <c r="C70" cm="1">
        <f t="array" ref="C70">_xll.BDH("SPX Index",C$1,$A70,$A70)</f>
        <v>77.061099999999996</v>
      </c>
      <c r="D70" cm="1">
        <f t="array" ref="D70">_xll.BDH("SPX Index",D$1,$A70,$A70)</f>
        <v>80.206500000000005</v>
      </c>
      <c r="E70" cm="1">
        <f t="array" ref="E70">_xll.BDH("SPX Index",E$1,$A70,$A70)</f>
        <v>17.9711</v>
      </c>
      <c r="F70" cm="1">
        <f t="array" ref="F70">_xll.BDH("SPX Index",F$1,$A70,$A70)</f>
        <v>37.2395</v>
      </c>
      <c r="G70" cm="1">
        <f t="array" ref="G70">_xll.BDH(_xlfn.CONCAT(G$1," INDEX"),"PX_LAST",$A70,$A70)</f>
        <v>4.1959999999999997</v>
      </c>
      <c r="H70" cm="1">
        <f t="array" ref="H70">_xll.BDH(_xlfn.CONCAT(H$1," INDEX"),"PX_LAST",$A70,$A70)</f>
        <v>20.57</v>
      </c>
    </row>
    <row r="71" spans="1:8" x14ac:dyDescent="0.25">
      <c r="A71" s="1">
        <v>45707</v>
      </c>
      <c r="B71">
        <v>6144.15</v>
      </c>
      <c r="C71" cm="1">
        <f t="array" ref="C71">_xll.BDH("SPX Index",C$1,$A71,$A71)</f>
        <v>77.212299999999999</v>
      </c>
      <c r="D71" cm="1">
        <f t="array" ref="D71">_xll.BDH("SPX Index",D$1,$A71,$A71)</f>
        <v>80.239900000000006</v>
      </c>
      <c r="E71" cm="1">
        <f t="array" ref="E71">_xll.BDH("SPX Index",E$1,$A71,$A71)</f>
        <v>17.972100000000001</v>
      </c>
      <c r="F71" cm="1">
        <f t="array" ref="F71">_xll.BDH("SPX Index",F$1,$A71,$A71)</f>
        <v>37.2395</v>
      </c>
      <c r="G71" cm="1">
        <f t="array" ref="G71">_xll.BDH(_xlfn.CONCAT(G$1," INDEX"),"PX_LAST",$A71,$A71)</f>
        <v>4.2070999999999996</v>
      </c>
      <c r="H71" cm="1">
        <f t="array" ref="H71">_xll.BDH(_xlfn.CONCAT(H$1," INDEX"),"PX_LAST",$A71,$A71)</f>
        <v>20.420000000000002</v>
      </c>
    </row>
    <row r="72" spans="1:8" x14ac:dyDescent="0.25">
      <c r="A72" s="1">
        <v>45706</v>
      </c>
      <c r="B72">
        <v>6129.58</v>
      </c>
      <c r="C72" cm="1">
        <f t="array" ref="C72">_xll.BDH("SPX Index",C$1,$A72,$A72)</f>
        <v>77.240799999999993</v>
      </c>
      <c r="D72" cm="1">
        <f t="array" ref="D72">_xll.BDH("SPX Index",D$1,$A72,$A72)</f>
        <v>80.280100000000004</v>
      </c>
      <c r="E72" cm="1">
        <f t="array" ref="E72">_xll.BDH("SPX Index",E$1,$A72,$A72)</f>
        <v>17.9558</v>
      </c>
      <c r="F72" cm="1">
        <f t="array" ref="F72">_xll.BDH("SPX Index",F$1,$A72,$A72)</f>
        <v>37.2395</v>
      </c>
      <c r="G72" cm="1">
        <f t="array" ref="G72">_xll.BDH(_xlfn.CONCAT(G$1," INDEX"),"PX_LAST",$A72,$A72)</f>
        <v>4.2244000000000002</v>
      </c>
      <c r="H72" cm="1">
        <f t="array" ref="H72">_xll.BDH(_xlfn.CONCAT(H$1," INDEX"),"PX_LAST",$A72,$A72)</f>
        <v>20.329999999999998</v>
      </c>
    </row>
    <row r="73" spans="1:8" x14ac:dyDescent="0.25">
      <c r="A73" s="1">
        <v>45702</v>
      </c>
      <c r="B73">
        <v>6114.63</v>
      </c>
      <c r="C73" cm="1">
        <f t="array" ref="C73">_xll.BDH("SPX Index",C$1,$A73,$A73)</f>
        <v>77.256500000000003</v>
      </c>
      <c r="D73" cm="1">
        <f t="array" ref="D73">_xll.BDH("SPX Index",D$1,$A73,$A73)</f>
        <v>80.115899999999996</v>
      </c>
      <c r="E73" cm="1">
        <f t="array" ref="E73">_xll.BDH("SPX Index",E$1,$A73,$A73)</f>
        <v>18.0871</v>
      </c>
      <c r="F73" cm="1">
        <f t="array" ref="F73">_xll.BDH("SPX Index",F$1,$A73,$A73)</f>
        <v>37.2395</v>
      </c>
      <c r="G73" cm="1">
        <f t="array" ref="G73">_xll.BDH(_xlfn.CONCAT(G$1," INDEX"),"PX_LAST",$A73,$A73)</f>
        <v>4.2140000000000004</v>
      </c>
      <c r="H73" cm="1">
        <f t="array" ref="H73">_xll.BDH(_xlfn.CONCAT(H$1," INDEX"),"PX_LAST",$A73,$A73)</f>
        <v>20.14</v>
      </c>
    </row>
    <row r="74" spans="1:8" x14ac:dyDescent="0.25">
      <c r="A74" s="1">
        <v>45701</v>
      </c>
      <c r="B74">
        <v>6115.07</v>
      </c>
      <c r="C74" cm="1">
        <f t="array" ref="C74">_xll.BDH("SPX Index",C$1,$A74,$A74)</f>
        <v>77.4893</v>
      </c>
      <c r="D74" cm="1">
        <f t="array" ref="D74">_xll.BDH("SPX Index",D$1,$A74,$A74)</f>
        <v>80.1267</v>
      </c>
      <c r="E74" cm="1">
        <f t="array" ref="E74">_xll.BDH("SPX Index",E$1,$A74,$A74)</f>
        <v>18.0822</v>
      </c>
      <c r="F74" cm="1">
        <f t="array" ref="F74">_xll.BDH("SPX Index",F$1,$A74,$A74)</f>
        <v>37.2395</v>
      </c>
      <c r="G74" cm="1">
        <f t="array" ref="G74">_xll.BDH(_xlfn.CONCAT(G$1," INDEX"),"PX_LAST",$A74,$A74)</f>
        <v>4.2557</v>
      </c>
      <c r="H74" cm="1">
        <f t="array" ref="H74">_xll.BDH(_xlfn.CONCAT(H$1," INDEX"),"PX_LAST",$A74,$A74)</f>
        <v>20.07</v>
      </c>
    </row>
    <row r="75" spans="1:8" x14ac:dyDescent="0.25">
      <c r="A75" s="1">
        <v>45700</v>
      </c>
      <c r="B75">
        <v>6051.97</v>
      </c>
      <c r="C75" cm="1">
        <f t="array" ref="C75">_xll.BDH("SPX Index",C$1,$A75,$A75)</f>
        <v>77.012600000000006</v>
      </c>
      <c r="D75" cm="1">
        <f t="array" ref="D75">_xll.BDH("SPX Index",D$1,$A75,$A75)</f>
        <v>80.148499999999999</v>
      </c>
      <c r="E75" cm="1">
        <f t="array" ref="E75">_xll.BDH("SPX Index",E$1,$A75,$A75)</f>
        <v>18.014199999999999</v>
      </c>
      <c r="F75" cm="1">
        <f t="array" ref="F75">_xll.BDH("SPX Index",F$1,$A75,$A75)</f>
        <v>37.2395</v>
      </c>
      <c r="G75" cm="1">
        <f t="array" ref="G75">_xll.BDH(_xlfn.CONCAT(G$1," INDEX"),"PX_LAST",$A75,$A75)</f>
        <v>4.2723000000000004</v>
      </c>
      <c r="H75" cm="1">
        <f t="array" ref="H75">_xll.BDH(_xlfn.CONCAT(H$1," INDEX"),"PX_LAST",$A75,$A75)</f>
        <v>20.3</v>
      </c>
    </row>
    <row r="76" spans="1:8" x14ac:dyDescent="0.25">
      <c r="A76" s="1">
        <v>45699</v>
      </c>
      <c r="B76">
        <v>6068.5</v>
      </c>
      <c r="C76" cm="1">
        <f t="array" ref="C76">_xll.BDH("SPX Index",C$1,$A76,$A76)</f>
        <v>78.446600000000004</v>
      </c>
      <c r="D76" cm="1">
        <f t="array" ref="D76">_xll.BDH("SPX Index",D$1,$A76,$A76)</f>
        <v>80.151799999999994</v>
      </c>
      <c r="E76" cm="1">
        <f t="array" ref="E76">_xll.BDH("SPX Index",E$1,$A76,$A76)</f>
        <v>18.015899999999998</v>
      </c>
      <c r="F76" cm="1">
        <f t="array" ref="F76">_xll.BDH("SPX Index",F$1,$A76,$A76)</f>
        <v>37.229199999999999</v>
      </c>
      <c r="G76" cm="1">
        <f t="array" ref="G76">_xll.BDH(_xlfn.CONCAT(G$1," INDEX"),"PX_LAST",$A76,$A76)</f>
        <v>4.2430000000000003</v>
      </c>
      <c r="H76" cm="1">
        <f t="array" ref="H76">_xll.BDH(_xlfn.CONCAT(H$1," INDEX"),"PX_LAST",$A76,$A76)</f>
        <v>20.239999999999998</v>
      </c>
    </row>
    <row r="77" spans="1:8" x14ac:dyDescent="0.25">
      <c r="A77" s="1">
        <v>45698</v>
      </c>
      <c r="B77">
        <v>6066.44</v>
      </c>
      <c r="C77" cm="1">
        <f t="array" ref="C77">_xll.BDH("SPX Index",C$1,$A77,$A77)</f>
        <v>78.510400000000004</v>
      </c>
      <c r="D77" cm="1">
        <f t="array" ref="D77">_xll.BDH("SPX Index",D$1,$A77,$A77)</f>
        <v>80.260099999999994</v>
      </c>
      <c r="E77" cm="1">
        <f t="array" ref="E77">_xll.BDH("SPX Index",E$1,$A77,$A77)</f>
        <v>17.992799999999999</v>
      </c>
      <c r="F77" cm="1">
        <f t="array" ref="F77">_xll.BDH("SPX Index",F$1,$A77,$A77)</f>
        <v>37.229199999999999</v>
      </c>
      <c r="G77" cm="1">
        <f t="array" ref="G77">_xll.BDH(_xlfn.CONCAT(G$1," INDEX"),"PX_LAST",$A77,$A77)</f>
        <v>4.2298999999999998</v>
      </c>
      <c r="H77" cm="1">
        <f t="array" ref="H77">_xll.BDH(_xlfn.CONCAT(H$1," INDEX"),"PX_LAST",$A77,$A77)</f>
        <v>20.21</v>
      </c>
    </row>
    <row r="78" spans="1:8" x14ac:dyDescent="0.25">
      <c r="A78" s="1">
        <v>45695</v>
      </c>
      <c r="B78">
        <v>6025.99</v>
      </c>
      <c r="C78" cm="1">
        <f t="array" ref="C78">_xll.BDH("SPX Index",C$1,$A78,$A78)</f>
        <v>78.704700000000003</v>
      </c>
      <c r="D78" cm="1">
        <f t="array" ref="D78">_xll.BDH("SPX Index",D$1,$A78,$A78)</f>
        <v>80.249099999999999</v>
      </c>
      <c r="E78" cm="1">
        <f t="array" ref="E78">_xll.BDH("SPX Index",E$1,$A78,$A78)</f>
        <v>17.9892</v>
      </c>
      <c r="F78" cm="1">
        <f t="array" ref="F78">_xll.BDH("SPX Index",F$1,$A78,$A78)</f>
        <v>37.229199999999999</v>
      </c>
      <c r="G78" cm="1">
        <f t="array" ref="G78">_xll.BDH(_xlfn.CONCAT(G$1," INDEX"),"PX_LAST",$A78,$A78)</f>
        <v>4.2222</v>
      </c>
      <c r="H78" cm="1">
        <f t="array" ref="H78">_xll.BDH(_xlfn.CONCAT(H$1," INDEX"),"PX_LAST",$A78,$A78)</f>
        <v>20.420000000000002</v>
      </c>
    </row>
    <row r="79" spans="1:8" x14ac:dyDescent="0.25">
      <c r="A79" s="1">
        <v>45694</v>
      </c>
      <c r="B79">
        <v>6083.57</v>
      </c>
      <c r="C79" cm="1">
        <f t="array" ref="C79">_xll.BDH("SPX Index",C$1,$A79,$A79)</f>
        <v>78.695400000000006</v>
      </c>
      <c r="D79" cm="1">
        <f t="array" ref="D79">_xll.BDH("SPX Index",D$1,$A79,$A79)</f>
        <v>80.22</v>
      </c>
      <c r="E79" cm="1">
        <f t="array" ref="E79">_xll.BDH("SPX Index",E$1,$A79,$A79)</f>
        <v>17.985199999999999</v>
      </c>
      <c r="F79" cm="1">
        <f t="array" ref="F79">_xll.BDH("SPX Index",F$1,$A79,$A79)</f>
        <v>37.229199999999999</v>
      </c>
      <c r="G79" cm="1">
        <f t="array" ref="G79">_xll.BDH(_xlfn.CONCAT(G$1," INDEX"),"PX_LAST",$A79,$A79)</f>
        <v>4.1722000000000001</v>
      </c>
      <c r="H79" cm="1">
        <f t="array" ref="H79">_xll.BDH(_xlfn.CONCAT(H$1," INDEX"),"PX_LAST",$A79,$A79)</f>
        <v>20.11</v>
      </c>
    </row>
    <row r="80" spans="1:8" x14ac:dyDescent="0.25">
      <c r="A80" s="1">
        <v>45693</v>
      </c>
      <c r="B80">
        <v>6061.48</v>
      </c>
      <c r="C80" cm="1">
        <f t="array" ref="C80">_xll.BDH("SPX Index",C$1,$A80,$A80)</f>
        <v>78.661299999999997</v>
      </c>
      <c r="D80" cm="1">
        <f t="array" ref="D80">_xll.BDH("SPX Index",D$1,$A80,$A80)</f>
        <v>80.221000000000004</v>
      </c>
      <c r="E80" cm="1">
        <f t="array" ref="E80">_xll.BDH("SPX Index",E$1,$A80,$A80)</f>
        <v>17.968299999999999</v>
      </c>
      <c r="F80" cm="1">
        <f t="array" ref="F80">_xll.BDH("SPX Index",F$1,$A80,$A80)</f>
        <v>37.283000000000001</v>
      </c>
      <c r="G80" cm="1">
        <f t="array" ref="G80">_xll.BDH(_xlfn.CONCAT(G$1," INDEX"),"PX_LAST",$A80,$A80)</f>
        <v>4.1643999999999997</v>
      </c>
      <c r="H80" cm="1">
        <f t="array" ref="H80">_xll.BDH(_xlfn.CONCAT(H$1," INDEX"),"PX_LAST",$A80,$A80)</f>
        <v>19.93</v>
      </c>
    </row>
    <row r="81" spans="1:8" x14ac:dyDescent="0.25">
      <c r="A81" s="1">
        <v>45692</v>
      </c>
      <c r="B81">
        <v>6037.88</v>
      </c>
      <c r="C81" cm="1">
        <f t="array" ref="C81">_xll.BDH("SPX Index",C$1,$A81,$A81)</f>
        <v>78.587000000000003</v>
      </c>
      <c r="D81" cm="1">
        <f t="array" ref="D81">_xll.BDH("SPX Index",D$1,$A81,$A81)</f>
        <v>80.1678</v>
      </c>
      <c r="E81" cm="1">
        <f t="array" ref="E81">_xll.BDH("SPX Index",E$1,$A81,$A81)</f>
        <v>17.8461</v>
      </c>
      <c r="F81" cm="1">
        <f t="array" ref="F81">_xll.BDH("SPX Index",F$1,$A81,$A81)</f>
        <v>37.283000000000001</v>
      </c>
      <c r="G81" cm="1">
        <f t="array" ref="G81">_xll.BDH(_xlfn.CONCAT(G$1," INDEX"),"PX_LAST",$A81,$A81)</f>
        <v>4.1755000000000004</v>
      </c>
      <c r="H81" cm="1">
        <f t="array" ref="H81">_xll.BDH(_xlfn.CONCAT(H$1," INDEX"),"PX_LAST",$A81,$A81)</f>
        <v>20.66</v>
      </c>
    </row>
    <row r="82" spans="1:8" x14ac:dyDescent="0.25">
      <c r="A82" s="1">
        <v>45691</v>
      </c>
      <c r="B82">
        <v>5994.57</v>
      </c>
      <c r="C82" cm="1">
        <f t="array" ref="C82">_xll.BDH("SPX Index",C$1,$A82,$A82)</f>
        <v>78.394099999999995</v>
      </c>
      <c r="D82" cm="1">
        <f t="array" ref="D82">_xll.BDH("SPX Index",D$1,$A82,$A82)</f>
        <v>80.189599999999999</v>
      </c>
      <c r="E82" cm="1">
        <f t="array" ref="E82">_xll.BDH("SPX Index",E$1,$A82,$A82)</f>
        <v>17.841799999999999</v>
      </c>
      <c r="F82" cm="1">
        <f t="array" ref="F82">_xll.BDH("SPX Index",F$1,$A82,$A82)</f>
        <v>37.283000000000001</v>
      </c>
      <c r="G82" cm="1">
        <f t="array" ref="G82">_xll.BDH(_xlfn.CONCAT(G$1," INDEX"),"PX_LAST",$A82,$A82)</f>
        <v>4.1894</v>
      </c>
      <c r="H82" cm="1">
        <f t="array" ref="H82">_xll.BDH(_xlfn.CONCAT(H$1," INDEX"),"PX_LAST",$A82,$A82)</f>
        <v>20.78</v>
      </c>
    </row>
    <row r="83" spans="1:8" x14ac:dyDescent="0.25">
      <c r="A83" s="1">
        <v>45688</v>
      </c>
      <c r="B83">
        <v>6040.53</v>
      </c>
      <c r="C83" cm="1">
        <f t="array" ref="C83">_xll.BDH("SPX Index",C$1,$A83,$A83)</f>
        <v>78.419499999999999</v>
      </c>
      <c r="D83" cm="1">
        <f t="array" ref="D83">_xll.BDH("SPX Index",D$1,$A83,$A83)</f>
        <v>80.221400000000003</v>
      </c>
      <c r="E83" cm="1">
        <f t="array" ref="E83">_xll.BDH("SPX Index",E$1,$A83,$A83)</f>
        <v>17.854800000000001</v>
      </c>
      <c r="F83" cm="1">
        <f t="array" ref="F83">_xll.BDH("SPX Index",F$1,$A83,$A83)</f>
        <v>37.283000000000001</v>
      </c>
      <c r="G83" cm="1">
        <f t="array" ref="G83">_xll.BDH(_xlfn.CONCAT(G$1," INDEX"),"PX_LAST",$A83,$A83)</f>
        <v>4.1493000000000002</v>
      </c>
      <c r="H83" cm="1">
        <f t="array" ref="H83">_xll.BDH(_xlfn.CONCAT(H$1," INDEX"),"PX_LAST",$A83,$A83)</f>
        <v>20.39</v>
      </c>
    </row>
    <row r="84" spans="1:8" x14ac:dyDescent="0.25">
      <c r="A84" s="1">
        <v>45687</v>
      </c>
      <c r="B84">
        <v>6071.17</v>
      </c>
      <c r="C84" cm="1">
        <f t="array" ref="C84">_xll.BDH("SPX Index",C$1,$A84,$A84)</f>
        <v>78.358999999999995</v>
      </c>
      <c r="D84" cm="1">
        <f t="array" ref="D84">_xll.BDH("SPX Index",D$1,$A84,$A84)</f>
        <v>80.207999999999998</v>
      </c>
      <c r="E84" cm="1">
        <f t="array" ref="E84">_xll.BDH("SPX Index",E$1,$A84,$A84)</f>
        <v>17.896799999999999</v>
      </c>
      <c r="F84" cm="1">
        <f t="array" ref="F84">_xll.BDH("SPX Index",F$1,$A84,$A84)</f>
        <v>37.283000000000001</v>
      </c>
      <c r="G84" cm="1">
        <f t="array" ref="G84">_xll.BDH(_xlfn.CONCAT(G$1," INDEX"),"PX_LAST",$A84,$A84)</f>
        <v>4.1558000000000002</v>
      </c>
      <c r="H84" cm="1">
        <f t="array" ref="H84">_xll.BDH(_xlfn.CONCAT(H$1," INDEX"),"PX_LAST",$A84,$A84)</f>
        <v>20.09</v>
      </c>
    </row>
    <row r="85" spans="1:8" x14ac:dyDescent="0.25">
      <c r="A85" s="1">
        <v>45686</v>
      </c>
      <c r="B85">
        <v>6039.31</v>
      </c>
      <c r="C85" cm="1">
        <f t="array" ref="C85">_xll.BDH("SPX Index",C$1,$A85,$A85)</f>
        <v>78.488</v>
      </c>
      <c r="D85" cm="1">
        <f t="array" ref="D85">_xll.BDH("SPX Index",D$1,$A85,$A85)</f>
        <v>80.227199999999996</v>
      </c>
      <c r="E85" cm="1">
        <f t="array" ref="E85">_xll.BDH("SPX Index",E$1,$A85,$A85)</f>
        <v>17.8429</v>
      </c>
      <c r="F85" cm="1">
        <f t="array" ref="F85">_xll.BDH("SPX Index",F$1,$A85,$A85)</f>
        <v>37.283000000000001</v>
      </c>
      <c r="G85" cm="1">
        <f t="array" ref="G85">_xll.BDH(_xlfn.CONCAT(G$1," INDEX"),"PX_LAST",$A85,$A85)</f>
        <v>4.1561000000000003</v>
      </c>
      <c r="H85" cm="1">
        <f t="array" ref="H85">_xll.BDH(_xlfn.CONCAT(H$1," INDEX"),"PX_LAST",$A85,$A85)</f>
        <v>19.68</v>
      </c>
    </row>
    <row r="86" spans="1:8" x14ac:dyDescent="0.25">
      <c r="A86" s="1">
        <v>45685</v>
      </c>
      <c r="B86">
        <v>6067.7</v>
      </c>
      <c r="C86" cm="1">
        <f t="array" ref="C86">_xll.BDH("SPX Index",C$1,$A86,$A86)</f>
        <v>78.637699999999995</v>
      </c>
      <c r="D86" cm="1">
        <f t="array" ref="D86">_xll.BDH("SPX Index",D$1,$A86,$A86)</f>
        <v>80.197400000000002</v>
      </c>
      <c r="E86" cm="1">
        <f t="array" ref="E86">_xll.BDH("SPX Index",E$1,$A86,$A86)</f>
        <v>17.8093</v>
      </c>
      <c r="F86" cm="1">
        <f t="array" ref="F86">_xll.BDH("SPX Index",F$1,$A86,$A86)</f>
        <v>37.283000000000001</v>
      </c>
      <c r="G86" cm="1">
        <f t="array" ref="G86">_xll.BDH(_xlfn.CONCAT(G$1," INDEX"),"PX_LAST",$A86,$A86)</f>
        <v>4.1242000000000001</v>
      </c>
      <c r="H86" cm="1">
        <f t="array" ref="H86">_xll.BDH(_xlfn.CONCAT(H$1," INDEX"),"PX_LAST",$A86,$A86)</f>
        <v>20.079999999999998</v>
      </c>
    </row>
    <row r="87" spans="1:8" x14ac:dyDescent="0.25">
      <c r="A87" s="1">
        <v>45684</v>
      </c>
      <c r="B87">
        <v>6012.28</v>
      </c>
      <c r="C87" cm="1">
        <f t="array" ref="C87">_xll.BDH("SPX Index",C$1,$A87,$A87)</f>
        <v>78.620599999999996</v>
      </c>
      <c r="D87" cm="1">
        <f t="array" ref="D87">_xll.BDH("SPX Index",D$1,$A87,$A87)</f>
        <v>80.196899999999999</v>
      </c>
      <c r="E87" cm="1">
        <f t="array" ref="E87">_xll.BDH("SPX Index",E$1,$A87,$A87)</f>
        <v>17.867100000000001</v>
      </c>
      <c r="F87" cm="1">
        <f t="array" ref="F87">_xll.BDH("SPX Index",F$1,$A87,$A87)</f>
        <v>37.283000000000001</v>
      </c>
      <c r="G87" cm="1">
        <f t="array" ref="G87">_xll.BDH(_xlfn.CONCAT(G$1," INDEX"),"PX_LAST",$A87,$A87)</f>
        <v>4.1272000000000002</v>
      </c>
      <c r="H87" cm="1">
        <f t="array" ref="H87">_xll.BDH(_xlfn.CONCAT(H$1," INDEX"),"PX_LAST",$A87,$A87)</f>
        <v>20.61</v>
      </c>
    </row>
    <row r="88" spans="1:8" x14ac:dyDescent="0.25">
      <c r="A88" s="1">
        <v>45681</v>
      </c>
      <c r="B88">
        <v>6101.24</v>
      </c>
      <c r="C88" cm="1">
        <f t="array" ref="C88">_xll.BDH("SPX Index",C$1,$A88,$A88)</f>
        <v>78.576800000000006</v>
      </c>
      <c r="D88" cm="1">
        <f t="array" ref="D88">_xll.BDH("SPX Index",D$1,$A88,$A88)</f>
        <v>80.186400000000006</v>
      </c>
      <c r="E88" cm="1">
        <f t="array" ref="E88">_xll.BDH("SPX Index",E$1,$A88,$A88)</f>
        <v>17.852</v>
      </c>
      <c r="F88" cm="1">
        <f t="array" ref="F88">_xll.BDH("SPX Index",F$1,$A88,$A88)</f>
        <v>37.283000000000001</v>
      </c>
      <c r="G88" cm="1">
        <f t="array" ref="G88">_xll.BDH(_xlfn.CONCAT(G$1," INDEX"),"PX_LAST",$A88,$A88)</f>
        <v>4.1571999999999996</v>
      </c>
      <c r="H88" cm="1">
        <f t="array" ref="H88">_xll.BDH(_xlfn.CONCAT(H$1," INDEX"),"PX_LAST",$A88,$A88)</f>
        <v>20.18</v>
      </c>
    </row>
    <row r="89" spans="1:8" x14ac:dyDescent="0.25">
      <c r="A89" s="1">
        <v>45680</v>
      </c>
      <c r="B89">
        <v>6118.71</v>
      </c>
      <c r="C89" cm="1">
        <f t="array" ref="C89">_xll.BDH("SPX Index",C$1,$A89,$A89)</f>
        <v>77.19</v>
      </c>
      <c r="D89" cm="1">
        <f t="array" ref="D89">_xll.BDH("SPX Index",D$1,$A89,$A89)</f>
        <v>80.185699999999997</v>
      </c>
      <c r="E89" cm="1">
        <f t="array" ref="E89">_xll.BDH("SPX Index",E$1,$A89,$A89)</f>
        <v>17.829699999999999</v>
      </c>
      <c r="F89" cm="1">
        <f t="array" ref="F89">_xll.BDH("SPX Index",F$1,$A89,$A89)</f>
        <v>37.283000000000001</v>
      </c>
      <c r="G89" cm="1">
        <f t="array" ref="G89">_xll.BDH(_xlfn.CONCAT(G$1," INDEX"),"PX_LAST",$A89,$A89)</f>
        <v>4.1744000000000003</v>
      </c>
      <c r="H89" cm="1">
        <f t="array" ref="H89">_xll.BDH(_xlfn.CONCAT(H$1," INDEX"),"PX_LAST",$A89,$A89)</f>
        <v>20.16</v>
      </c>
    </row>
    <row r="90" spans="1:8" x14ac:dyDescent="0.25">
      <c r="A90" s="1">
        <v>45679</v>
      </c>
      <c r="B90">
        <v>6086.37</v>
      </c>
      <c r="C90" cm="1">
        <f t="array" ref="C90">_xll.BDH("SPX Index",C$1,$A90,$A90)</f>
        <v>77.185000000000002</v>
      </c>
      <c r="D90" cm="1">
        <f t="array" ref="D90">_xll.BDH("SPX Index",D$1,$A90,$A90)</f>
        <v>80.150099999999995</v>
      </c>
      <c r="E90" cm="1">
        <f t="array" ref="E90">_xll.BDH("SPX Index",E$1,$A90,$A90)</f>
        <v>17.8322</v>
      </c>
      <c r="F90" cm="1">
        <f t="array" ref="F90">_xll.BDH("SPX Index",F$1,$A90,$A90)</f>
        <v>37.381999999999998</v>
      </c>
      <c r="G90" cm="1">
        <f t="array" ref="G90">_xll.BDH(_xlfn.CONCAT(G$1," INDEX"),"PX_LAST",$A90,$A90)</f>
        <v>4.1909999999999998</v>
      </c>
      <c r="H90" cm="1">
        <f t="array" ref="H90">_xll.BDH(_xlfn.CONCAT(H$1," INDEX"),"PX_LAST",$A90,$A90)</f>
        <v>20.399999999999999</v>
      </c>
    </row>
    <row r="91" spans="1:8" x14ac:dyDescent="0.25">
      <c r="A91" s="1">
        <v>45678</v>
      </c>
      <c r="B91">
        <v>6049.24</v>
      </c>
      <c r="C91" cm="1">
        <f t="array" ref="C91">_xll.BDH("SPX Index",C$1,$A91,$A91)</f>
        <v>77.169899999999998</v>
      </c>
      <c r="D91" cm="1">
        <f t="array" ref="D91">_xll.BDH("SPX Index",D$1,$A91,$A91)</f>
        <v>80.180499999999995</v>
      </c>
      <c r="E91" cm="1">
        <f t="array" ref="E91">_xll.BDH("SPX Index",E$1,$A91,$A91)</f>
        <v>17.747900000000001</v>
      </c>
      <c r="F91" cm="1">
        <f t="array" ref="F91">_xll.BDH("SPX Index",F$1,$A91,$A91)</f>
        <v>37.377800000000001</v>
      </c>
      <c r="G91" cm="1">
        <f t="array" ref="G91">_xll.BDH(_xlfn.CONCAT(G$1," INDEX"),"PX_LAST",$A91,$A91)</f>
        <v>4.1791</v>
      </c>
      <c r="H91" cm="1">
        <f t="array" ref="H91">_xll.BDH(_xlfn.CONCAT(H$1," INDEX"),"PX_LAST",$A91,$A91)</f>
        <v>20.22</v>
      </c>
    </row>
    <row r="92" spans="1:8" x14ac:dyDescent="0.25">
      <c r="A92" s="1">
        <v>45674</v>
      </c>
      <c r="B92">
        <v>5996.66</v>
      </c>
      <c r="C92" cm="1">
        <f t="array" ref="C92">_xll.BDH("SPX Index",C$1,$A92,$A92)</f>
        <v>77.169700000000006</v>
      </c>
      <c r="D92" cm="1">
        <f t="array" ref="D92">_xll.BDH("SPX Index",D$1,$A92,$A92)</f>
        <v>80.281499999999994</v>
      </c>
      <c r="E92" cm="1">
        <f t="array" ref="E92">_xll.BDH("SPX Index",E$1,$A92,$A92)</f>
        <v>17.810199999999998</v>
      </c>
      <c r="F92" cm="1">
        <f t="array" ref="F92">_xll.BDH("SPX Index",F$1,$A92,$A92)</f>
        <v>37.377800000000001</v>
      </c>
      <c r="G92" cm="1">
        <f t="array" ref="G92">_xll.BDH(_xlfn.CONCAT(G$1," INDEX"),"PX_LAST",$A92,$A92)</f>
        <v>4.2035999999999998</v>
      </c>
      <c r="H92" cm="1">
        <f t="array" ref="H92">_xll.BDH(_xlfn.CONCAT(H$1," INDEX"),"PX_LAST",$A92,$A92)</f>
        <v>20.68</v>
      </c>
    </row>
    <row r="93" spans="1:8" x14ac:dyDescent="0.25">
      <c r="A93" s="1">
        <v>45673</v>
      </c>
      <c r="B93">
        <v>5937.34</v>
      </c>
      <c r="C93" cm="1">
        <f t="array" ref="C93">_xll.BDH("SPX Index",C$1,$A93,$A93)</f>
        <v>77.150800000000004</v>
      </c>
      <c r="D93" cm="1">
        <f t="array" ref="D93">_xll.BDH("SPX Index",D$1,$A93,$A93)</f>
        <v>80.263300000000001</v>
      </c>
      <c r="E93" cm="1">
        <f t="array" ref="E93">_xll.BDH("SPX Index",E$1,$A93,$A93)</f>
        <v>17.817599999999999</v>
      </c>
      <c r="F93" cm="1">
        <f t="array" ref="F93">_xll.BDH("SPX Index",F$1,$A93,$A93)</f>
        <v>37.377800000000001</v>
      </c>
      <c r="G93" cm="1">
        <f t="array" ref="G93">_xll.BDH(_xlfn.CONCAT(G$1," INDEX"),"PX_LAST",$A93,$A93)</f>
        <v>4.1646999999999998</v>
      </c>
      <c r="H93" cm="1">
        <f t="array" ref="H93">_xll.BDH(_xlfn.CONCAT(H$1," INDEX"),"PX_LAST",$A93,$A93)</f>
        <v>20.8</v>
      </c>
    </row>
    <row r="94" spans="1:8" x14ac:dyDescent="0.25">
      <c r="A94" s="1">
        <v>45672</v>
      </c>
      <c r="B94">
        <v>5949.91</v>
      </c>
      <c r="C94" cm="1">
        <f t="array" ref="C94">_xll.BDH("SPX Index",C$1,$A94,$A94)</f>
        <v>77.109300000000005</v>
      </c>
      <c r="D94" cm="1">
        <f t="array" ref="D94">_xll.BDH("SPX Index",D$1,$A94,$A94)</f>
        <v>80.257300000000001</v>
      </c>
      <c r="E94" cm="1">
        <f t="array" ref="E94">_xll.BDH("SPX Index",E$1,$A94,$A94)</f>
        <v>17.796900000000001</v>
      </c>
      <c r="F94" cm="1">
        <f t="array" ref="F94">_xll.BDH("SPX Index",F$1,$A94,$A94)</f>
        <v>37.377800000000001</v>
      </c>
      <c r="G94" cm="1">
        <f t="array" ref="G94">_xll.BDH(_xlfn.CONCAT(G$1," INDEX"),"PX_LAST",$A94,$A94)</f>
        <v>4.1677</v>
      </c>
      <c r="H94" cm="1">
        <f t="array" ref="H94">_xll.BDH(_xlfn.CONCAT(H$1," INDEX"),"PX_LAST",$A94,$A94)</f>
        <v>20.64</v>
      </c>
    </row>
    <row r="95" spans="1:8" x14ac:dyDescent="0.25">
      <c r="A95" s="1">
        <v>45671</v>
      </c>
      <c r="B95">
        <v>5842.91</v>
      </c>
      <c r="C95" cm="1">
        <f t="array" ref="C95">_xll.BDH("SPX Index",C$1,$A95,$A95)</f>
        <v>77.050899999999999</v>
      </c>
      <c r="D95" cm="1">
        <f t="array" ref="D95">_xll.BDH("SPX Index",D$1,$A95,$A95)</f>
        <v>80.263400000000004</v>
      </c>
      <c r="E95" cm="1">
        <f t="array" ref="E95">_xll.BDH("SPX Index",E$1,$A95,$A95)</f>
        <v>17.754100000000001</v>
      </c>
      <c r="F95" cm="1">
        <f t="array" ref="F95">_xll.BDH("SPX Index",F$1,$A95,$A95)</f>
        <v>37.377800000000001</v>
      </c>
      <c r="G95" cm="1">
        <f t="array" ref="G95">_xll.BDH(_xlfn.CONCAT(G$1," INDEX"),"PX_LAST",$A95,$A95)</f>
        <v>4.2003000000000004</v>
      </c>
      <c r="H95" cm="1">
        <f t="array" ref="H95">_xll.BDH(_xlfn.CONCAT(H$1," INDEX"),"PX_LAST",$A95,$A95)</f>
        <v>21.3</v>
      </c>
    </row>
    <row r="96" spans="1:8" x14ac:dyDescent="0.25">
      <c r="A96" s="1">
        <v>45670</v>
      </c>
      <c r="B96">
        <v>5836.22</v>
      </c>
      <c r="C96" cm="1">
        <f t="array" ref="C96">_xll.BDH("SPX Index",C$1,$A96,$A96)</f>
        <v>77.075000000000003</v>
      </c>
      <c r="D96" cm="1">
        <f t="array" ref="D96">_xll.BDH("SPX Index",D$1,$A96,$A96)</f>
        <v>80.326099999999997</v>
      </c>
      <c r="E96" cm="1">
        <f t="array" ref="E96">_xll.BDH("SPX Index",E$1,$A96,$A96)</f>
        <v>17.761500000000002</v>
      </c>
      <c r="F96" cm="1">
        <f t="array" ref="F96">_xll.BDH("SPX Index",F$1,$A96,$A96)</f>
        <v>37.377800000000001</v>
      </c>
      <c r="G96" cm="1">
        <f t="array" ref="G96">_xll.BDH(_xlfn.CONCAT(G$1," INDEX"),"PX_LAST",$A96,$A96)</f>
        <v>4.2088000000000001</v>
      </c>
      <c r="H96" cm="1">
        <f t="array" ref="H96">_xll.BDH(_xlfn.CONCAT(H$1," INDEX"),"PX_LAST",$A96,$A96)</f>
        <v>21.55</v>
      </c>
    </row>
    <row r="97" spans="1:8" x14ac:dyDescent="0.25">
      <c r="A97" s="1">
        <v>45667</v>
      </c>
      <c r="B97">
        <v>5827.04</v>
      </c>
      <c r="C97" cm="1">
        <f t="array" ref="C97">_xll.BDH("SPX Index",C$1,$A97,$A97)</f>
        <v>77.084400000000002</v>
      </c>
      <c r="D97" cm="1">
        <f t="array" ref="D97">_xll.BDH("SPX Index",D$1,$A97,$A97)</f>
        <v>80.345600000000005</v>
      </c>
      <c r="E97" cm="1">
        <f t="array" ref="E97">_xll.BDH("SPX Index",E$1,$A97,$A97)</f>
        <v>17.7621</v>
      </c>
      <c r="F97" cm="1">
        <f t="array" ref="F97">_xll.BDH("SPX Index",F$1,$A97,$A97)</f>
        <v>37.377800000000001</v>
      </c>
      <c r="G97" cm="1">
        <f t="array" ref="G97">_xll.BDH(_xlfn.CONCAT(G$1," INDEX"),"PX_LAST",$A97,$A97)</f>
        <v>4.2091000000000003</v>
      </c>
      <c r="H97" cm="1">
        <f t="array" ref="H97">_xll.BDH(_xlfn.CONCAT(H$1," INDEX"),"PX_LAST",$A97,$A97)</f>
        <v>22.02</v>
      </c>
    </row>
    <row r="98" spans="1:8" x14ac:dyDescent="0.25">
      <c r="A98" s="1">
        <v>45665</v>
      </c>
      <c r="B98">
        <v>5918.25</v>
      </c>
      <c r="C98" cm="1">
        <f t="array" ref="C98">_xll.BDH("SPX Index",C$1,$A98,$A98)</f>
        <v>77.075800000000001</v>
      </c>
      <c r="D98" cm="1">
        <f t="array" ref="D98">_xll.BDH("SPX Index",D$1,$A98,$A98)</f>
        <v>80.353700000000003</v>
      </c>
      <c r="E98" cm="1">
        <f t="array" ref="E98">_xll.BDH("SPX Index",E$1,$A98,$A98)</f>
        <v>17.774100000000001</v>
      </c>
      <c r="F98" cm="1">
        <f t="array" ref="F98">_xll.BDH("SPX Index",F$1,$A98,$A98)</f>
        <v>37.377800000000001</v>
      </c>
      <c r="G98" cm="1">
        <f t="array" ref="G98">_xll.BDH(_xlfn.CONCAT(G$1," INDEX"),"PX_LAST",$A98,$A98)</f>
        <v>4.1620999999999997</v>
      </c>
      <c r="H98" cm="1">
        <f t="array" ref="H98">_xll.BDH(_xlfn.CONCAT(H$1," INDEX"),"PX_LAST",$A98,$A98)</f>
        <v>21.21</v>
      </c>
    </row>
    <row r="99" spans="1:8" x14ac:dyDescent="0.25">
      <c r="A99" s="1">
        <v>45664</v>
      </c>
      <c r="B99">
        <v>5909.03</v>
      </c>
      <c r="C99" cm="1">
        <f t="array" ref="C99">_xll.BDH("SPX Index",C$1,$A99,$A99)</f>
        <v>77.081299999999999</v>
      </c>
      <c r="D99" cm="1">
        <f t="array" ref="D99">_xll.BDH("SPX Index",D$1,$A99,$A99)</f>
        <v>80.3583</v>
      </c>
      <c r="E99" cm="1">
        <f t="array" ref="E99">_xll.BDH("SPX Index",E$1,$A99,$A99)</f>
        <v>17.780799999999999</v>
      </c>
      <c r="F99" cm="1">
        <f t="array" ref="F99">_xll.BDH("SPX Index",F$1,$A99,$A99)</f>
        <v>37.377800000000001</v>
      </c>
      <c r="G99" cm="1">
        <f t="array" ref="G99">_xll.BDH(_xlfn.CONCAT(G$1," INDEX"),"PX_LAST",$A99,$A99)</f>
        <v>4.1786000000000003</v>
      </c>
      <c r="H99" cm="1">
        <f t="array" ref="H99">_xll.BDH(_xlfn.CONCAT(H$1," INDEX"),"PX_LAST",$A99,$A99)</f>
        <v>21.24</v>
      </c>
    </row>
    <row r="100" spans="1:8" x14ac:dyDescent="0.25">
      <c r="A100" s="1">
        <v>45663</v>
      </c>
      <c r="B100">
        <v>5975.38</v>
      </c>
      <c r="C100" cm="1">
        <f t="array" ref="C100">_xll.BDH("SPX Index",C$1,$A100,$A100)</f>
        <v>77.079599999999999</v>
      </c>
      <c r="D100" cm="1">
        <f t="array" ref="D100">_xll.BDH("SPX Index",D$1,$A100,$A100)</f>
        <v>80.368899999999996</v>
      </c>
      <c r="E100" cm="1">
        <f t="array" ref="E100">_xll.BDH("SPX Index",E$1,$A100,$A100)</f>
        <v>17.785</v>
      </c>
      <c r="F100" cm="1">
        <f t="array" ref="F100">_xll.BDH("SPX Index",F$1,$A100,$A100)</f>
        <v>37.377800000000001</v>
      </c>
      <c r="G100" cm="1">
        <f t="array" ref="G100">_xll.BDH(_xlfn.CONCAT(G$1," INDEX"),"PX_LAST",$A100,$A100)</f>
        <v>4.1574</v>
      </c>
      <c r="H100" cm="1">
        <f t="array" ref="H100">_xll.BDH(_xlfn.CONCAT(H$1," INDEX"),"PX_LAST",$A100,$A100)</f>
        <v>20.79</v>
      </c>
    </row>
    <row r="101" spans="1:8" x14ac:dyDescent="0.25">
      <c r="A101" s="1">
        <v>45660</v>
      </c>
      <c r="B101">
        <v>5942.47</v>
      </c>
      <c r="C101" cm="1">
        <f t="array" ref="C101">_xll.BDH("SPX Index",C$1,$A101,$A101)</f>
        <v>77.062200000000004</v>
      </c>
      <c r="D101" cm="1">
        <f t="array" ref="D101">_xll.BDH("SPX Index",D$1,$A101,$A101)</f>
        <v>80.398700000000005</v>
      </c>
      <c r="E101" cm="1">
        <f t="array" ref="E101">_xll.BDH("SPX Index",E$1,$A101,$A101)</f>
        <v>17.792200000000001</v>
      </c>
      <c r="F101" cm="1">
        <f t="array" ref="F101">_xll.BDH("SPX Index",F$1,$A101,$A101)</f>
        <v>37.377800000000001</v>
      </c>
      <c r="G101" cm="1">
        <f t="array" ref="G101">_xll.BDH(_xlfn.CONCAT(G$1," INDEX"),"PX_LAST",$A101,$A101)</f>
        <v>4.1657999999999999</v>
      </c>
      <c r="H101" cm="1">
        <f t="array" ref="H101">_xll.BDH(_xlfn.CONCAT(H$1," INDEX"),"PX_LAST",$A101,$A101)</f>
        <v>20.87</v>
      </c>
    </row>
    <row r="102" spans="1:8" x14ac:dyDescent="0.25">
      <c r="A102" s="1">
        <v>45659</v>
      </c>
      <c r="B102">
        <v>5868.55</v>
      </c>
      <c r="C102" cm="1">
        <f t="array" ref="C102">_xll.BDH("SPX Index",C$1,$A102,$A102)</f>
        <v>77.013000000000005</v>
      </c>
      <c r="D102" cm="1">
        <f t="array" ref="D102">_xll.BDH("SPX Index",D$1,$A102,$A102)</f>
        <v>80.371399999999994</v>
      </c>
      <c r="E102" cm="1">
        <f t="array" ref="E102">_xll.BDH("SPX Index",E$1,$A102,$A102)</f>
        <v>17.792899999999999</v>
      </c>
      <c r="F102" cm="1">
        <f t="array" ref="F102">_xll.BDH("SPX Index",F$1,$A102,$A102)</f>
        <v>37.377800000000001</v>
      </c>
      <c r="G102" cm="1">
        <f t="array" ref="G102">_xll.BDH(_xlfn.CONCAT(G$1," INDEX"),"PX_LAST",$A102,$A102)</f>
        <v>4.1506999999999996</v>
      </c>
      <c r="H102" cm="1">
        <f t="array" ref="H102">_xll.BDH(_xlfn.CONCAT(H$1," INDEX"),"PX_LAST",$A102,$A102)</f>
        <v>21.62</v>
      </c>
    </row>
    <row r="103" spans="1:8" x14ac:dyDescent="0.25">
      <c r="A103" s="1">
        <v>45657</v>
      </c>
      <c r="B103">
        <v>5881.63</v>
      </c>
      <c r="C103" cm="1">
        <f t="array" ref="C103">_xll.BDH("SPX Index",C$1,$A103,$A103)</f>
        <v>77.0321</v>
      </c>
      <c r="D103" cm="1">
        <f t="array" ref="D103">_xll.BDH("SPX Index",D$1,$A103,$A103)</f>
        <v>80.372699999999995</v>
      </c>
      <c r="E103" cm="1">
        <f t="array" ref="E103">_xll.BDH("SPX Index",E$1,$A103,$A103)</f>
        <v>17.792200000000001</v>
      </c>
      <c r="F103" cm="1">
        <f t="array" ref="F103">_xll.BDH("SPX Index",F$1,$A103,$A103)</f>
        <v>37.377600000000001</v>
      </c>
      <c r="G103" cm="1">
        <f t="array" ref="G103">_xll.BDH(_xlfn.CONCAT(G$1," INDEX"),"PX_LAST",$A103,$A103)</f>
        <v>4.1429999999999998</v>
      </c>
      <c r="H103" cm="1">
        <f t="array" ref="H103">_xll.BDH(_xlfn.CONCAT(H$1," INDEX"),"PX_LAST",$A103,$A103)</f>
        <v>21.48</v>
      </c>
    </row>
    <row r="104" spans="1:8" x14ac:dyDescent="0.25">
      <c r="A104" s="1">
        <v>45656</v>
      </c>
      <c r="B104">
        <v>5906.94</v>
      </c>
      <c r="C104" cm="1">
        <f t="array" ref="C104">_xll.BDH("SPX Index",C$1,$A104,$A104)</f>
        <v>77.020700000000005</v>
      </c>
      <c r="D104" cm="1">
        <f t="array" ref="D104">_xll.BDH("SPX Index",D$1,$A104,$A104)</f>
        <v>80.373900000000006</v>
      </c>
      <c r="E104" cm="1">
        <f t="array" ref="E104">_xll.BDH("SPX Index",E$1,$A104,$A104)</f>
        <v>17.7928</v>
      </c>
      <c r="F104" cm="1">
        <f t="array" ref="F104">_xll.BDH("SPX Index",F$1,$A104,$A104)</f>
        <v>37.377600000000001</v>
      </c>
      <c r="G104" cm="1">
        <f t="array" ref="G104">_xll.BDH(_xlfn.CONCAT(G$1," INDEX"),"PX_LAST",$A104,$A104)</f>
        <v>4.1544999999999996</v>
      </c>
      <c r="H104" cm="1">
        <f t="array" ref="H104">_xll.BDH(_xlfn.CONCAT(H$1," INDEX"),"PX_LAST",$A104,$A104)</f>
        <v>21.36</v>
      </c>
    </row>
    <row r="105" spans="1:8" x14ac:dyDescent="0.25">
      <c r="A105" s="1">
        <v>45653</v>
      </c>
      <c r="B105">
        <v>5970.84</v>
      </c>
      <c r="C105" cm="1">
        <f t="array" ref="C105">_xll.BDH("SPX Index",C$1,$A105,$A105)</f>
        <v>77.027900000000002</v>
      </c>
      <c r="D105" cm="1">
        <f t="array" ref="D105">_xll.BDH("SPX Index",D$1,$A105,$A105)</f>
        <v>80.382400000000004</v>
      </c>
      <c r="E105" cm="1">
        <f t="array" ref="E105">_xll.BDH("SPX Index",E$1,$A105,$A105)</f>
        <v>17.796099999999999</v>
      </c>
      <c r="F105" cm="1">
        <f t="array" ref="F105">_xll.BDH("SPX Index",F$1,$A105,$A105)</f>
        <v>37.377600000000001</v>
      </c>
      <c r="G105" cm="1">
        <f t="array" ref="G105">_xll.BDH(_xlfn.CONCAT(G$1," INDEX"),"PX_LAST",$A105,$A105)</f>
        <v>4.1844999999999999</v>
      </c>
      <c r="H105" cm="1">
        <f t="array" ref="H105">_xll.BDH(_xlfn.CONCAT(H$1," INDEX"),"PX_LAST",$A105,$A105)</f>
        <v>20.89</v>
      </c>
    </row>
    <row r="106" spans="1:8" x14ac:dyDescent="0.25">
      <c r="A106" s="1">
        <v>45652</v>
      </c>
      <c r="B106">
        <v>6037.59</v>
      </c>
      <c r="C106" cm="1">
        <f t="array" ref="C106">_xll.BDH("SPX Index",C$1,$A106,$A106)</f>
        <v>77.020200000000003</v>
      </c>
      <c r="D106" cm="1">
        <f t="array" ref="D106">_xll.BDH("SPX Index",D$1,$A106,$A106)</f>
        <v>80.3827</v>
      </c>
      <c r="E106" cm="1">
        <f t="array" ref="E106">_xll.BDH("SPX Index",E$1,$A106,$A106)</f>
        <v>17.796500000000002</v>
      </c>
      <c r="F106" cm="1">
        <f t="array" ref="F106">_xll.BDH("SPX Index",F$1,$A106,$A106)</f>
        <v>37.377600000000001</v>
      </c>
      <c r="G106" cm="1">
        <f t="array" ref="G106">_xll.BDH(_xlfn.CONCAT(G$1," INDEX"),"PX_LAST",$A106,$A106)</f>
        <v>4.2125000000000004</v>
      </c>
      <c r="H106" cm="1">
        <f t="array" ref="H106">_xll.BDH(_xlfn.CONCAT(H$1," INDEX"),"PX_LAST",$A106,$A106)</f>
        <v>20.74</v>
      </c>
    </row>
    <row r="107" spans="1:8" x14ac:dyDescent="0.25">
      <c r="A107" s="1">
        <v>45650</v>
      </c>
      <c r="B107">
        <v>6040.04</v>
      </c>
      <c r="C107" cm="1">
        <f t="array" ref="C107">_xll.BDH("SPX Index",C$1,$A107,$A107)</f>
        <v>77.012299999999996</v>
      </c>
      <c r="D107" cm="1">
        <f t="array" ref="D107">_xll.BDH("SPX Index",D$1,$A107,$A107)</f>
        <v>80.381</v>
      </c>
      <c r="E107" cm="1">
        <f t="array" ref="E107">_xll.BDH("SPX Index",E$1,$A107,$A107)</f>
        <v>17.796199999999999</v>
      </c>
      <c r="F107" cm="1">
        <f t="array" ref="F107">_xll.BDH("SPX Index",F$1,$A107,$A107)</f>
        <v>37.377600000000001</v>
      </c>
      <c r="G107" cm="1">
        <f t="array" ref="G107">_xll.BDH(_xlfn.CONCAT(G$1," INDEX"),"PX_LAST",$A107,$A107)</f>
        <v>4.2237</v>
      </c>
      <c r="H107" cm="1">
        <f t="array" ref="H107">_xll.BDH(_xlfn.CONCAT(H$1," INDEX"),"PX_LAST",$A107,$A107)</f>
        <v>20.8</v>
      </c>
    </row>
    <row r="108" spans="1:8" x14ac:dyDescent="0.25">
      <c r="A108" s="1">
        <v>45649</v>
      </c>
      <c r="B108">
        <v>5974.07</v>
      </c>
      <c r="C108" cm="1">
        <f t="array" ref="C108">_xll.BDH("SPX Index",C$1,$A108,$A108)</f>
        <v>77.014300000000006</v>
      </c>
      <c r="D108" cm="1">
        <f t="array" ref="D108">_xll.BDH("SPX Index",D$1,$A108,$A108)</f>
        <v>80.380099999999999</v>
      </c>
      <c r="E108" cm="1">
        <f t="array" ref="E108">_xll.BDH("SPX Index",E$1,$A108,$A108)</f>
        <v>17.794699999999999</v>
      </c>
      <c r="F108" cm="1">
        <f t="array" ref="F108">_xll.BDH("SPX Index",F$1,$A108,$A108)</f>
        <v>37.377600000000001</v>
      </c>
      <c r="G108" cm="1">
        <f t="array" ref="G108">_xll.BDH(_xlfn.CONCAT(G$1," INDEX"),"PX_LAST",$A108,$A108)</f>
        <v>4.2171000000000003</v>
      </c>
      <c r="H108" cm="1">
        <f t="array" ref="H108">_xll.BDH(_xlfn.CONCAT(H$1," INDEX"),"PX_LAST",$A108,$A108)</f>
        <v>21.24</v>
      </c>
    </row>
    <row r="109" spans="1:8" x14ac:dyDescent="0.25">
      <c r="A109" s="1">
        <v>45646</v>
      </c>
      <c r="B109">
        <v>5930.85</v>
      </c>
      <c r="C109" cm="1">
        <f t="array" ref="C109">_xll.BDH("SPX Index",C$1,$A109,$A109)</f>
        <v>76.981499999999997</v>
      </c>
      <c r="D109" cm="1">
        <f t="array" ref="D109">_xll.BDH("SPX Index",D$1,$A109,$A109)</f>
        <v>80.325000000000003</v>
      </c>
      <c r="E109" cm="1">
        <f t="array" ref="E109">_xll.BDH("SPX Index",E$1,$A109,$A109)</f>
        <v>17.758700000000001</v>
      </c>
      <c r="F109" cm="1">
        <f t="array" ref="F109">_xll.BDH("SPX Index",F$1,$A109,$A109)</f>
        <v>37.375500000000002</v>
      </c>
      <c r="G109" cm="1">
        <f t="array" ref="G109">_xll.BDH(_xlfn.CONCAT(G$1," INDEX"),"PX_LAST",$A109,$A109)</f>
        <v>4.2443</v>
      </c>
      <c r="H109" cm="1">
        <f t="array" ref="H109">_xll.BDH(_xlfn.CONCAT(H$1," INDEX"),"PX_LAST",$A109,$A109)</f>
        <v>21.94</v>
      </c>
    </row>
    <row r="110" spans="1:8" x14ac:dyDescent="0.25">
      <c r="A110" s="1">
        <v>45645</v>
      </c>
      <c r="B110">
        <v>5867.08</v>
      </c>
      <c r="C110" cm="1">
        <f t="array" ref="C110">_xll.BDH("SPX Index",C$1,$A110,$A110)</f>
        <v>76.981899999999996</v>
      </c>
      <c r="D110" cm="1">
        <f t="array" ref="D110">_xll.BDH("SPX Index",D$1,$A110,$A110)</f>
        <v>80.293099999999995</v>
      </c>
      <c r="E110" cm="1">
        <f t="array" ref="E110">_xll.BDH("SPX Index",E$1,$A110,$A110)</f>
        <v>17.756799999999998</v>
      </c>
      <c r="F110" cm="1">
        <f t="array" ref="F110">_xll.BDH("SPX Index",F$1,$A110,$A110)</f>
        <v>37.370800000000003</v>
      </c>
      <c r="G110" cm="1">
        <f t="array" ref="G110">_xll.BDH(_xlfn.CONCAT(G$1," INDEX"),"PX_LAST",$A110,$A110)</f>
        <v>4.2587999999999999</v>
      </c>
      <c r="H110" cm="1">
        <f t="array" ref="H110">_xll.BDH(_xlfn.CONCAT(H$1," INDEX"),"PX_LAST",$A110,$A110)</f>
        <v>23.31</v>
      </c>
    </row>
    <row r="111" spans="1:8" x14ac:dyDescent="0.25">
      <c r="A111" s="1">
        <v>45644</v>
      </c>
      <c r="B111">
        <v>5872.16</v>
      </c>
      <c r="C111" cm="1">
        <f t="array" ref="C111">_xll.BDH("SPX Index",C$1,$A111,$A111)</f>
        <v>76.954400000000007</v>
      </c>
      <c r="D111" cm="1">
        <f t="array" ref="D111">_xll.BDH("SPX Index",D$1,$A111,$A111)</f>
        <v>80.292100000000005</v>
      </c>
      <c r="E111" cm="1">
        <f t="array" ref="E111">_xll.BDH("SPX Index",E$1,$A111,$A111)</f>
        <v>17.753699999999998</v>
      </c>
      <c r="F111" cm="1">
        <f t="array" ref="F111">_xll.BDH("SPX Index",F$1,$A111,$A111)</f>
        <v>37.370800000000003</v>
      </c>
      <c r="G111" cm="1">
        <f t="array" ref="G111">_xll.BDH(_xlfn.CONCAT(G$1," INDEX"),"PX_LAST",$A111,$A111)</f>
        <v>4.2888000000000002</v>
      </c>
      <c r="H111" cm="1">
        <f t="array" ref="H111">_xll.BDH(_xlfn.CONCAT(H$1," INDEX"),"PX_LAST",$A111,$A111)</f>
        <v>23.88</v>
      </c>
    </row>
    <row r="112" spans="1:8" x14ac:dyDescent="0.25">
      <c r="A112" s="1">
        <v>45643</v>
      </c>
      <c r="B112">
        <v>6050.61</v>
      </c>
      <c r="C112" cm="1">
        <f t="array" ref="C112">_xll.BDH("SPX Index",C$1,$A112,$A112)</f>
        <v>76.927400000000006</v>
      </c>
      <c r="D112" cm="1">
        <f t="array" ref="D112">_xll.BDH("SPX Index",D$1,$A112,$A112)</f>
        <v>80.318399999999997</v>
      </c>
      <c r="E112" cm="1">
        <f t="array" ref="E112">_xll.BDH("SPX Index",E$1,$A112,$A112)</f>
        <v>17.761199999999999</v>
      </c>
      <c r="F112" cm="1">
        <f t="array" ref="F112">_xll.BDH("SPX Index",F$1,$A112,$A112)</f>
        <v>37.370800000000003</v>
      </c>
      <c r="G112" cm="1">
        <f t="array" ref="G112">_xll.BDH(_xlfn.CONCAT(G$1," INDEX"),"PX_LAST",$A112,$A112)</f>
        <v>4.2434000000000003</v>
      </c>
      <c r="H112" cm="1">
        <f t="array" ref="H112">_xll.BDH(_xlfn.CONCAT(H$1," INDEX"),"PX_LAST",$A112,$A112)</f>
        <v>21.14</v>
      </c>
    </row>
    <row r="113" spans="1:8" x14ac:dyDescent="0.25">
      <c r="A113" s="1">
        <v>45642</v>
      </c>
      <c r="B113">
        <v>6074.08</v>
      </c>
      <c r="C113" cm="1">
        <f t="array" ref="C113">_xll.BDH("SPX Index",C$1,$A113,$A113)</f>
        <v>76.937700000000007</v>
      </c>
      <c r="D113" cm="1">
        <f t="array" ref="D113">_xll.BDH("SPX Index",D$1,$A113,$A113)</f>
        <v>80.329899999999995</v>
      </c>
      <c r="E113" cm="1">
        <f t="array" ref="E113">_xll.BDH("SPX Index",E$1,$A113,$A113)</f>
        <v>17.7653</v>
      </c>
      <c r="F113" cm="1">
        <f t="array" ref="F113">_xll.BDH("SPX Index",F$1,$A113,$A113)</f>
        <v>37.369500000000002</v>
      </c>
      <c r="G113" cm="1">
        <f t="array" ref="G113">_xll.BDH(_xlfn.CONCAT(G$1," INDEX"),"PX_LAST",$A113,$A113)</f>
        <v>4.2382999999999997</v>
      </c>
      <c r="H113" cm="1">
        <f t="array" ref="H113">_xll.BDH(_xlfn.CONCAT(H$1," INDEX"),"PX_LAST",$A113,$A113)</f>
        <v>21</v>
      </c>
    </row>
    <row r="114" spans="1:8" x14ac:dyDescent="0.25">
      <c r="A114" s="1">
        <v>45639</v>
      </c>
      <c r="B114">
        <v>6051.09</v>
      </c>
      <c r="C114" cm="1">
        <f t="array" ref="C114">_xll.BDH("SPX Index",C$1,$A114,$A114)</f>
        <v>76.942800000000005</v>
      </c>
      <c r="D114" cm="1">
        <f t="array" ref="D114">_xll.BDH("SPX Index",D$1,$A114,$A114)</f>
        <v>80.307199999999995</v>
      </c>
      <c r="E114" cm="1">
        <f t="array" ref="E114">_xll.BDH("SPX Index",E$1,$A114,$A114)</f>
        <v>17.8276</v>
      </c>
      <c r="F114" cm="1">
        <f t="array" ref="F114">_xll.BDH("SPX Index",F$1,$A114,$A114)</f>
        <v>37.369900000000001</v>
      </c>
      <c r="G114" cm="1">
        <f t="array" ref="G114">_xll.BDH(_xlfn.CONCAT(G$1," INDEX"),"PX_LAST",$A114,$A114)</f>
        <v>4.2279</v>
      </c>
      <c r="H114" cm="1">
        <f t="array" ref="H114">_xll.BDH(_xlfn.CONCAT(H$1," INDEX"),"PX_LAST",$A114,$A114)</f>
        <v>20.87</v>
      </c>
    </row>
    <row r="115" spans="1:8" x14ac:dyDescent="0.25">
      <c r="A115" s="1">
        <v>45638</v>
      </c>
      <c r="B115">
        <v>6051.25</v>
      </c>
      <c r="C115" cm="1">
        <f t="array" ref="C115">_xll.BDH("SPX Index",C$1,$A115,$A115)</f>
        <v>76.934399999999997</v>
      </c>
      <c r="D115" cm="1">
        <f t="array" ref="D115">_xll.BDH("SPX Index",D$1,$A115,$A115)</f>
        <v>80.229100000000003</v>
      </c>
      <c r="E115" cm="1">
        <f t="array" ref="E115">_xll.BDH("SPX Index",E$1,$A115,$A115)</f>
        <v>17.828399999999998</v>
      </c>
      <c r="F115" cm="1">
        <f t="array" ref="F115">_xll.BDH("SPX Index",F$1,$A115,$A115)</f>
        <v>37.369900000000001</v>
      </c>
      <c r="G115" cm="1">
        <f t="array" ref="G115">_xll.BDH(_xlfn.CONCAT(G$1," INDEX"),"PX_LAST",$A115,$A115)</f>
        <v>4.2183000000000002</v>
      </c>
      <c r="H115" cm="1">
        <f t="array" ref="H115">_xll.BDH(_xlfn.CONCAT(H$1," INDEX"),"PX_LAST",$A115,$A115)</f>
        <v>20.73</v>
      </c>
    </row>
    <row r="116" spans="1:8" x14ac:dyDescent="0.25">
      <c r="A116" s="1">
        <v>45637</v>
      </c>
      <c r="B116">
        <v>6084.19</v>
      </c>
      <c r="C116" cm="1">
        <f t="array" ref="C116">_xll.BDH("SPX Index",C$1,$A116,$A116)</f>
        <v>76.900099999999995</v>
      </c>
      <c r="D116" cm="1">
        <f t="array" ref="D116">_xll.BDH("SPX Index",D$1,$A116,$A116)</f>
        <v>80.146500000000003</v>
      </c>
      <c r="E116" cm="1">
        <f t="array" ref="E116">_xll.BDH("SPX Index",E$1,$A116,$A116)</f>
        <v>17.811499999999999</v>
      </c>
      <c r="F116" cm="1">
        <f t="array" ref="F116">_xll.BDH("SPX Index",F$1,$A116,$A116)</f>
        <v>37.380400000000002</v>
      </c>
      <c r="G116" cm="1">
        <f t="array" ref="G116">_xll.BDH(_xlfn.CONCAT(G$1," INDEX"),"PX_LAST",$A116,$A116)</f>
        <v>4.1943999999999999</v>
      </c>
      <c r="H116" cm="1">
        <f t="array" ref="H116">_xll.BDH(_xlfn.CONCAT(H$1," INDEX"),"PX_LAST",$A116,$A116)</f>
        <v>20.59</v>
      </c>
    </row>
    <row r="117" spans="1:8" x14ac:dyDescent="0.25">
      <c r="A117" s="1">
        <v>45636</v>
      </c>
      <c r="B117">
        <v>6034.91</v>
      </c>
      <c r="C117" cm="1">
        <f t="array" ref="C117">_xll.BDH("SPX Index",C$1,$A117,$A117)</f>
        <v>76.908900000000003</v>
      </c>
      <c r="D117" cm="1">
        <f t="array" ref="D117">_xll.BDH("SPX Index",D$1,$A117,$A117)</f>
        <v>80.1678</v>
      </c>
      <c r="E117" cm="1">
        <f t="array" ref="E117">_xll.BDH("SPX Index",E$1,$A117,$A117)</f>
        <v>17.804300000000001</v>
      </c>
      <c r="F117" cm="1">
        <f t="array" ref="F117">_xll.BDH("SPX Index",F$1,$A117,$A117)</f>
        <v>37.379899999999999</v>
      </c>
      <c r="G117" cm="1">
        <f t="array" ref="G117">_xll.BDH(_xlfn.CONCAT(G$1," INDEX"),"PX_LAST",$A117,$A117)</f>
        <v>4.2054999999999998</v>
      </c>
      <c r="H117" cm="1">
        <f t="array" ref="H117">_xll.BDH(_xlfn.CONCAT(H$1," INDEX"),"PX_LAST",$A117,$A117)</f>
        <v>20.53</v>
      </c>
    </row>
    <row r="118" spans="1:8" x14ac:dyDescent="0.25">
      <c r="A118" s="1">
        <v>45635</v>
      </c>
      <c r="B118">
        <v>6052.85</v>
      </c>
      <c r="C118" cm="1">
        <f t="array" ref="C118">_xll.BDH("SPX Index",C$1,$A118,$A118)</f>
        <v>76.912199999999999</v>
      </c>
      <c r="D118" cm="1">
        <f t="array" ref="D118">_xll.BDH("SPX Index",D$1,$A118,$A118)</f>
        <v>80.1751</v>
      </c>
      <c r="E118" cm="1">
        <f t="array" ref="E118">_xll.BDH("SPX Index",E$1,$A118,$A118)</f>
        <v>17.808199999999999</v>
      </c>
      <c r="F118" cm="1">
        <f t="array" ref="F118">_xll.BDH("SPX Index",F$1,$A118,$A118)</f>
        <v>37.380000000000003</v>
      </c>
      <c r="G118" cm="1">
        <f t="array" ref="G118">_xll.BDH(_xlfn.CONCAT(G$1," INDEX"),"PX_LAST",$A118,$A118)</f>
        <v>4.1924000000000001</v>
      </c>
      <c r="H118" cm="1">
        <f t="array" ref="H118">_xll.BDH(_xlfn.CONCAT(H$1," INDEX"),"PX_LAST",$A118,$A118)</f>
        <v>20.58</v>
      </c>
    </row>
    <row r="119" spans="1:8" x14ac:dyDescent="0.25">
      <c r="A119" s="1">
        <v>45632</v>
      </c>
      <c r="B119">
        <v>6090.27</v>
      </c>
      <c r="C119" cm="1">
        <f t="array" ref="C119">_xll.BDH("SPX Index",C$1,$A119,$A119)</f>
        <v>76.910399999999996</v>
      </c>
      <c r="D119" cm="1">
        <f t="array" ref="D119">_xll.BDH("SPX Index",D$1,$A119,$A119)</f>
        <v>80.146000000000001</v>
      </c>
      <c r="E119" cm="1">
        <f t="array" ref="E119">_xll.BDH("SPX Index",E$1,$A119,$A119)</f>
        <v>17.815000000000001</v>
      </c>
      <c r="F119" cm="1">
        <f t="array" ref="F119">_xll.BDH("SPX Index",F$1,$A119,$A119)</f>
        <v>37.380000000000003</v>
      </c>
      <c r="G119" cm="1">
        <f t="array" ref="G119">_xll.BDH(_xlfn.CONCAT(G$1," INDEX"),"PX_LAST",$A119,$A119)</f>
        <v>4.1765999999999996</v>
      </c>
      <c r="H119" cm="1">
        <f t="array" ref="H119">_xll.BDH(_xlfn.CONCAT(H$1," INDEX"),"PX_LAST",$A119,$A119)</f>
        <v>20.18</v>
      </c>
    </row>
    <row r="120" spans="1:8" x14ac:dyDescent="0.25">
      <c r="A120" s="1">
        <v>45631</v>
      </c>
      <c r="B120">
        <v>6075.11</v>
      </c>
      <c r="C120" cm="1">
        <f t="array" ref="C120">_xll.BDH("SPX Index",C$1,$A120,$A120)</f>
        <v>76.922600000000003</v>
      </c>
      <c r="D120" cm="1">
        <f t="array" ref="D120">_xll.BDH("SPX Index",D$1,$A120,$A120)</f>
        <v>80.132300000000001</v>
      </c>
      <c r="E120" cm="1">
        <f t="array" ref="E120">_xll.BDH("SPX Index",E$1,$A120,$A120)</f>
        <v>17.817499999999999</v>
      </c>
      <c r="F120" cm="1">
        <f t="array" ref="F120">_xll.BDH("SPX Index",F$1,$A120,$A120)</f>
        <v>37.380000000000003</v>
      </c>
      <c r="G120" cm="1">
        <f t="array" ref="G120">_xll.BDH(_xlfn.CONCAT(G$1," INDEX"),"PX_LAST",$A120,$A120)</f>
        <v>4.2289000000000003</v>
      </c>
      <c r="H120" cm="1">
        <f t="array" ref="H120">_xll.BDH(_xlfn.CONCAT(H$1," INDEX"),"PX_LAST",$A120,$A120)</f>
        <v>20.239999999999998</v>
      </c>
    </row>
    <row r="121" spans="1:8" x14ac:dyDescent="0.25">
      <c r="A121" s="1">
        <v>45630</v>
      </c>
      <c r="B121">
        <v>6086.49</v>
      </c>
      <c r="C121" cm="1">
        <f t="array" ref="C121">_xll.BDH("SPX Index",C$1,$A121,$A121)</f>
        <v>76.955100000000002</v>
      </c>
      <c r="D121" cm="1">
        <f t="array" ref="D121">_xll.BDH("SPX Index",D$1,$A121,$A121)</f>
        <v>80.202799999999996</v>
      </c>
      <c r="E121" cm="1">
        <f t="array" ref="E121">_xll.BDH("SPX Index",E$1,$A121,$A121)</f>
        <v>17.820399999999999</v>
      </c>
      <c r="F121" cm="1">
        <f t="array" ref="F121">_xll.BDH("SPX Index",F$1,$A121,$A121)</f>
        <v>37.388800000000003</v>
      </c>
      <c r="G121" cm="1">
        <f t="array" ref="G121">_xll.BDH(_xlfn.CONCAT(G$1," INDEX"),"PX_LAST",$A121,$A121)</f>
        <v>4.2183999999999999</v>
      </c>
      <c r="H121" cm="1">
        <f t="array" ref="H121">_xll.BDH(_xlfn.CONCAT(H$1," INDEX"),"PX_LAST",$A121,$A121)</f>
        <v>20.079999999999998</v>
      </c>
    </row>
    <row r="122" spans="1:8" x14ac:dyDescent="0.25">
      <c r="A122" s="1">
        <v>45629</v>
      </c>
      <c r="B122">
        <v>6049.88</v>
      </c>
      <c r="C122" cm="1">
        <f t="array" ref="C122">_xll.BDH("SPX Index",C$1,$A122,$A122)</f>
        <v>76.914199999999994</v>
      </c>
      <c r="D122" cm="1">
        <f t="array" ref="D122">_xll.BDH("SPX Index",D$1,$A122,$A122)</f>
        <v>80.012799999999999</v>
      </c>
      <c r="E122" cm="1">
        <f t="array" ref="E122">_xll.BDH("SPX Index",E$1,$A122,$A122)</f>
        <v>17.819900000000001</v>
      </c>
      <c r="F122" cm="1">
        <f t="array" ref="F122">_xll.BDH("SPX Index",F$1,$A122,$A122)</f>
        <v>37.465200000000003</v>
      </c>
      <c r="G122" cm="1">
        <f t="array" ref="G122">_xll.BDH(_xlfn.CONCAT(G$1," INDEX"),"PX_LAST",$A122,$A122)</f>
        <v>4.2672999999999996</v>
      </c>
      <c r="H122" cm="1">
        <f t="array" ref="H122">_xll.BDH(_xlfn.CONCAT(H$1," INDEX"),"PX_LAST",$A122,$A122)</f>
        <v>19.82</v>
      </c>
    </row>
    <row r="123" spans="1:8" x14ac:dyDescent="0.25">
      <c r="A123" s="1">
        <v>45628</v>
      </c>
      <c r="B123">
        <v>6047.15</v>
      </c>
      <c r="C123" cm="1">
        <f t="array" ref="C123">_xll.BDH("SPX Index",C$1,$A123,$A123)</f>
        <v>76.947500000000005</v>
      </c>
      <c r="D123" cm="1">
        <f t="array" ref="D123">_xll.BDH("SPX Index",D$1,$A123,$A123)</f>
        <v>80.047700000000006</v>
      </c>
      <c r="E123" cm="1">
        <f t="array" ref="E123">_xll.BDH("SPX Index",E$1,$A123,$A123)</f>
        <v>17.825500000000002</v>
      </c>
      <c r="F123" cm="1">
        <f t="array" ref="F123">_xll.BDH("SPX Index",F$1,$A123,$A123)</f>
        <v>37.4666</v>
      </c>
      <c r="G123" cm="1">
        <f t="array" ref="G123">_xll.BDH(_xlfn.CONCAT(G$1," INDEX"),"PX_LAST",$A123,$A123)</f>
        <v>4.2785000000000002</v>
      </c>
      <c r="H123" cm="1">
        <f t="array" ref="H123">_xll.BDH(_xlfn.CONCAT(H$1," INDEX"),"PX_LAST",$A123,$A123)</f>
        <v>19.809999999999999</v>
      </c>
    </row>
    <row r="124" spans="1:8" x14ac:dyDescent="0.25">
      <c r="A124" s="1">
        <v>45625</v>
      </c>
      <c r="B124">
        <v>6032.38</v>
      </c>
      <c r="C124" cm="1">
        <f t="array" ref="C124">_xll.BDH("SPX Index",C$1,$A124,$A124)</f>
        <v>76.970100000000002</v>
      </c>
      <c r="D124" cm="1">
        <f t="array" ref="D124">_xll.BDH("SPX Index",D$1,$A124,$A124)</f>
        <v>80.056299999999993</v>
      </c>
      <c r="E124" cm="1">
        <f t="array" ref="E124">_xll.BDH("SPX Index",E$1,$A124,$A124)</f>
        <v>17.8139</v>
      </c>
      <c r="F124" cm="1">
        <f t="array" ref="F124">_xll.BDH("SPX Index",F$1,$A124,$A124)</f>
        <v>37.4666</v>
      </c>
      <c r="G124" cm="1">
        <f t="array" ref="G124">_xll.BDH(_xlfn.CONCAT(G$1," INDEX"),"PX_LAST",$A124,$A124)</f>
        <v>4.2789000000000001</v>
      </c>
      <c r="H124" cm="1">
        <f t="array" ref="H124">_xll.BDH(_xlfn.CONCAT(H$1," INDEX"),"PX_LAST",$A124,$A124)</f>
        <v>19.739999999999998</v>
      </c>
    </row>
    <row r="125" spans="1:8" x14ac:dyDescent="0.25">
      <c r="A125" s="1">
        <v>45623</v>
      </c>
      <c r="B125">
        <v>5998.74</v>
      </c>
      <c r="C125" cm="1">
        <f t="array" ref="C125">_xll.BDH("SPX Index",C$1,$A125,$A125)</f>
        <v>76.963700000000003</v>
      </c>
      <c r="D125" cm="1">
        <f t="array" ref="D125">_xll.BDH("SPX Index",D$1,$A125,$A125)</f>
        <v>80.056399999999996</v>
      </c>
      <c r="E125" cm="1">
        <f t="array" ref="E125">_xll.BDH("SPX Index",E$1,$A125,$A125)</f>
        <v>17.8292</v>
      </c>
      <c r="F125" cm="1">
        <f t="array" ref="F125">_xll.BDH("SPX Index",F$1,$A125,$A125)</f>
        <v>37.4666</v>
      </c>
      <c r="G125" cm="1">
        <f t="array" ref="G125">_xll.BDH(_xlfn.CONCAT(G$1," INDEX"),"PX_LAST",$A125,$A125)</f>
        <v>4.3231999999999999</v>
      </c>
      <c r="H125" cm="1">
        <f t="array" ref="H125">_xll.BDH(_xlfn.CONCAT(H$1," INDEX"),"PX_LAST",$A125,$A125)</f>
        <v>20.03</v>
      </c>
    </row>
    <row r="126" spans="1:8" x14ac:dyDescent="0.25">
      <c r="A126" s="1">
        <v>45622</v>
      </c>
      <c r="B126">
        <v>6021.63</v>
      </c>
      <c r="C126" cm="1">
        <f t="array" ref="C126">_xll.BDH("SPX Index",C$1,$A126,$A126)</f>
        <v>76.9405</v>
      </c>
      <c r="D126" cm="1">
        <f t="array" ref="D126">_xll.BDH("SPX Index",D$1,$A126,$A126)</f>
        <v>80.055800000000005</v>
      </c>
      <c r="E126" cm="1">
        <f t="array" ref="E126">_xll.BDH("SPX Index",E$1,$A126,$A126)</f>
        <v>17.8323</v>
      </c>
      <c r="F126" cm="1">
        <f t="array" ref="F126">_xll.BDH("SPX Index",F$1,$A126,$A126)</f>
        <v>37.464700000000001</v>
      </c>
      <c r="G126" cm="1">
        <f t="array" ref="G126">_xll.BDH(_xlfn.CONCAT(G$1," INDEX"),"PX_LAST",$A126,$A126)</f>
        <v>4.3615000000000004</v>
      </c>
      <c r="H126" cm="1">
        <f t="array" ref="H126">_xll.BDH(_xlfn.CONCAT(H$1," INDEX"),"PX_LAST",$A126,$A126)</f>
        <v>19.89</v>
      </c>
    </row>
    <row r="127" spans="1:8" x14ac:dyDescent="0.25">
      <c r="A127" s="1">
        <v>45621</v>
      </c>
      <c r="B127">
        <v>5987.37</v>
      </c>
      <c r="C127" cm="1">
        <f t="array" ref="C127">_xll.BDH("SPX Index",C$1,$A127,$A127)</f>
        <v>76.983699999999999</v>
      </c>
      <c r="D127" cm="1">
        <f t="array" ref="D127">_xll.BDH("SPX Index",D$1,$A127,$A127)</f>
        <v>80.000299999999996</v>
      </c>
      <c r="E127" cm="1">
        <f t="array" ref="E127">_xll.BDH("SPX Index",E$1,$A127,$A127)</f>
        <v>17.825500000000002</v>
      </c>
      <c r="F127" cm="1">
        <f t="array" ref="F127">_xll.BDH("SPX Index",F$1,$A127,$A127)</f>
        <v>37.458500000000001</v>
      </c>
      <c r="G127" cm="1">
        <f t="array" ref="G127">_xll.BDH(_xlfn.CONCAT(G$1," INDEX"),"PX_LAST",$A127,$A127)</f>
        <v>4.3646000000000003</v>
      </c>
      <c r="H127" cm="1">
        <f t="array" ref="H127">_xll.BDH(_xlfn.CONCAT(H$1," INDEX"),"PX_LAST",$A127,$A127)</f>
        <v>20.059999999999999</v>
      </c>
    </row>
    <row r="128" spans="1:8" x14ac:dyDescent="0.25">
      <c r="A128" s="1">
        <v>45618</v>
      </c>
      <c r="B128">
        <v>5969.34</v>
      </c>
      <c r="C128" cm="1">
        <f t="array" ref="C128">_xll.BDH("SPX Index",C$1,$A128,$A128)</f>
        <v>76.999799999999993</v>
      </c>
      <c r="D128" cm="1">
        <f t="array" ref="D128">_xll.BDH("SPX Index",D$1,$A128,$A128)</f>
        <v>80.023700000000005</v>
      </c>
      <c r="E128" cm="1">
        <f t="array" ref="E128">_xll.BDH("SPX Index",E$1,$A128,$A128)</f>
        <v>17.825199999999999</v>
      </c>
      <c r="F128" cm="1">
        <f t="array" ref="F128">_xll.BDH("SPX Index",F$1,$A128,$A128)</f>
        <v>37.458199999999998</v>
      </c>
      <c r="G128" cm="1">
        <f t="array" ref="G128">_xll.BDH(_xlfn.CONCAT(G$1," INDEX"),"PX_LAST",$A128,$A128)</f>
        <v>4.4027000000000003</v>
      </c>
      <c r="H128" cm="1">
        <f t="array" ref="H128">_xll.BDH(_xlfn.CONCAT(H$1," INDEX"),"PX_LAST",$A128,$A128)</f>
        <v>20.260000000000002</v>
      </c>
    </row>
    <row r="129" spans="1:8" x14ac:dyDescent="0.25">
      <c r="A129" s="1">
        <v>45617</v>
      </c>
      <c r="B129">
        <v>5948.71</v>
      </c>
      <c r="C129" cm="1">
        <f t="array" ref="C129">_xll.BDH("SPX Index",C$1,$A129,$A129)</f>
        <v>76.914000000000001</v>
      </c>
      <c r="D129" cm="1">
        <f t="array" ref="D129">_xll.BDH("SPX Index",D$1,$A129,$A129)</f>
        <v>79.974299999999999</v>
      </c>
      <c r="E129" cm="1">
        <f t="array" ref="E129">_xll.BDH("SPX Index",E$1,$A129,$A129)</f>
        <v>17.828900000000001</v>
      </c>
      <c r="F129" cm="1">
        <f t="array" ref="F129">_xll.BDH("SPX Index",F$1,$A129,$A129)</f>
        <v>37.457999999999998</v>
      </c>
      <c r="G129" cm="1">
        <f t="array" ref="G129">_xll.BDH(_xlfn.CONCAT(G$1," INDEX"),"PX_LAST",$A129,$A129)</f>
        <v>4.3849999999999998</v>
      </c>
      <c r="H129" cm="1">
        <f t="array" ref="H129">_xll.BDH(_xlfn.CONCAT(H$1," INDEX"),"PX_LAST",$A129,$A129)</f>
        <v>20.63</v>
      </c>
    </row>
    <row r="130" spans="1:8" x14ac:dyDescent="0.25">
      <c r="A130" s="1">
        <v>45616</v>
      </c>
      <c r="B130">
        <v>5917.11</v>
      </c>
      <c r="C130" cm="1">
        <f t="array" ref="C130">_xll.BDH("SPX Index",C$1,$A130,$A130)</f>
        <v>76.915700000000001</v>
      </c>
      <c r="D130" cm="1">
        <f t="array" ref="D130">_xll.BDH("SPX Index",D$1,$A130,$A130)</f>
        <v>79.980400000000003</v>
      </c>
      <c r="E130" cm="1">
        <f t="array" ref="E130">_xll.BDH("SPX Index",E$1,$A130,$A130)</f>
        <v>17.840800000000002</v>
      </c>
      <c r="F130" cm="1">
        <f t="array" ref="F130">_xll.BDH("SPX Index",F$1,$A130,$A130)</f>
        <v>37.496000000000002</v>
      </c>
      <c r="G130" cm="1">
        <f t="array" ref="G130">_xll.BDH(_xlfn.CONCAT(G$1," INDEX"),"PX_LAST",$A130,$A130)</f>
        <v>4.3665000000000003</v>
      </c>
      <c r="H130" cm="1">
        <f t="array" ref="H130">_xll.BDH(_xlfn.CONCAT(H$1," INDEX"),"PX_LAST",$A130,$A130)</f>
        <v>20.75</v>
      </c>
    </row>
    <row r="131" spans="1:8" x14ac:dyDescent="0.25">
      <c r="A131" s="1">
        <v>45615</v>
      </c>
      <c r="B131">
        <v>5916.98</v>
      </c>
      <c r="C131" cm="1">
        <f t="array" ref="C131">_xll.BDH("SPX Index",C$1,$A131,$A131)</f>
        <v>76.924599999999998</v>
      </c>
      <c r="D131" cm="1">
        <f t="array" ref="D131">_xll.BDH("SPX Index",D$1,$A131,$A131)</f>
        <v>79.861900000000006</v>
      </c>
      <c r="E131" cm="1">
        <f t="array" ref="E131">_xll.BDH("SPX Index",E$1,$A131,$A131)</f>
        <v>17.8187</v>
      </c>
      <c r="F131" cm="1">
        <f t="array" ref="F131">_xll.BDH("SPX Index",F$1,$A131,$A131)</f>
        <v>36.605800000000002</v>
      </c>
      <c r="G131" cm="1">
        <f t="array" ref="G131">_xll.BDH(_xlfn.CONCAT(G$1," INDEX"),"PX_LAST",$A131,$A131)</f>
        <v>4.3399000000000001</v>
      </c>
      <c r="H131" cm="1">
        <f t="array" ref="H131">_xll.BDH(_xlfn.CONCAT(H$1," INDEX"),"PX_LAST",$A131,$A131)</f>
        <v>20.52</v>
      </c>
    </row>
    <row r="132" spans="1:8" x14ac:dyDescent="0.25">
      <c r="A132" s="1">
        <v>45614</v>
      </c>
      <c r="B132">
        <v>5893.62</v>
      </c>
      <c r="C132" cm="1">
        <f t="array" ref="C132">_xll.BDH("SPX Index",C$1,$A132,$A132)</f>
        <v>76.944299999999998</v>
      </c>
      <c r="D132" cm="1">
        <f t="array" ref="D132">_xll.BDH("SPX Index",D$1,$A132,$A132)</f>
        <v>79.844499999999996</v>
      </c>
      <c r="E132" cm="1">
        <f t="array" ref="E132">_xll.BDH("SPX Index",E$1,$A132,$A132)</f>
        <v>17.819600000000001</v>
      </c>
      <c r="F132" cm="1">
        <f t="array" ref="F132">_xll.BDH("SPX Index",F$1,$A132,$A132)</f>
        <v>36.605800000000002</v>
      </c>
      <c r="G132" cm="1">
        <f t="array" ref="G132">_xll.BDH(_xlfn.CONCAT(G$1," INDEX"),"PX_LAST",$A132,$A132)</f>
        <v>4.3268000000000004</v>
      </c>
      <c r="H132" cm="1">
        <f t="array" ref="H132">_xll.BDH(_xlfn.CONCAT(H$1," INDEX"),"PX_LAST",$A132,$A132)</f>
        <v>20.399999999999999</v>
      </c>
    </row>
    <row r="133" spans="1:8" x14ac:dyDescent="0.25">
      <c r="A133" s="1">
        <v>45611</v>
      </c>
      <c r="B133">
        <v>5870.62</v>
      </c>
      <c r="C133" cm="1">
        <f t="array" ref="C133">_xll.BDH("SPX Index",C$1,$A133,$A133)</f>
        <v>76.926100000000005</v>
      </c>
      <c r="D133" cm="1">
        <f t="array" ref="D133">_xll.BDH("SPX Index",D$1,$A133,$A133)</f>
        <v>79.870699999999999</v>
      </c>
      <c r="E133" cm="1">
        <f t="array" ref="E133">_xll.BDH("SPX Index",E$1,$A133,$A133)</f>
        <v>17.8352</v>
      </c>
      <c r="F133" cm="1">
        <f t="array" ref="F133">_xll.BDH("SPX Index",F$1,$A133,$A133)</f>
        <v>36.605800000000002</v>
      </c>
      <c r="G133" cm="1">
        <f t="array" ref="G133">_xll.BDH(_xlfn.CONCAT(G$1," INDEX"),"PX_LAST",$A133,$A133)</f>
        <v>4.3190999999999997</v>
      </c>
      <c r="H133" cm="1">
        <f t="array" ref="H133">_xll.BDH(_xlfn.CONCAT(H$1," INDEX"),"PX_LAST",$A133,$A133)</f>
        <v>20.72</v>
      </c>
    </row>
    <row r="134" spans="1:8" x14ac:dyDescent="0.25">
      <c r="A134" s="1">
        <v>45610</v>
      </c>
      <c r="B134">
        <v>5949.17</v>
      </c>
      <c r="C134" cm="1">
        <f t="array" ref="C134">_xll.BDH("SPX Index",C$1,$A134,$A134)</f>
        <v>76.882000000000005</v>
      </c>
      <c r="D134" cm="1">
        <f t="array" ref="D134">_xll.BDH("SPX Index",D$1,$A134,$A134)</f>
        <v>79.891900000000007</v>
      </c>
      <c r="E134" cm="1">
        <f t="array" ref="E134">_xll.BDH("SPX Index",E$1,$A134,$A134)</f>
        <v>17.732299999999999</v>
      </c>
      <c r="F134" cm="1">
        <f t="array" ref="F134">_xll.BDH("SPX Index",F$1,$A134,$A134)</f>
        <v>36.605800000000002</v>
      </c>
      <c r="G134" cm="1">
        <f t="array" ref="G134">_xll.BDH(_xlfn.CONCAT(G$1," INDEX"),"PX_LAST",$A134,$A134)</f>
        <v>4.3552999999999997</v>
      </c>
      <c r="H134" cm="1">
        <f t="array" ref="H134">_xll.BDH(_xlfn.CONCAT(H$1," INDEX"),"PX_LAST",$A134,$A134)</f>
        <v>20.190000000000001</v>
      </c>
    </row>
    <row r="135" spans="1:8" x14ac:dyDescent="0.25">
      <c r="A135" s="1">
        <v>45609</v>
      </c>
      <c r="B135">
        <v>5985.38</v>
      </c>
      <c r="C135" cm="1">
        <f t="array" ref="C135">_xll.BDH("SPX Index",C$1,$A135,$A135)</f>
        <v>76.864800000000002</v>
      </c>
      <c r="D135" cm="1">
        <f t="array" ref="D135">_xll.BDH("SPX Index",D$1,$A135,$A135)</f>
        <v>79.899199999999993</v>
      </c>
      <c r="E135" cm="1">
        <f t="array" ref="E135">_xll.BDH("SPX Index",E$1,$A135,$A135)</f>
        <v>17.751899999999999</v>
      </c>
      <c r="F135" cm="1">
        <f t="array" ref="F135">_xll.BDH("SPX Index",F$1,$A135,$A135)</f>
        <v>36.576799999999999</v>
      </c>
      <c r="G135" cm="1">
        <f t="array" ref="G135">_xll.BDH(_xlfn.CONCAT(G$1," INDEX"),"PX_LAST",$A135,$A135)</f>
        <v>4.2964000000000002</v>
      </c>
      <c r="H135" cm="1">
        <f t="array" ref="H135">_xll.BDH(_xlfn.CONCAT(H$1," INDEX"),"PX_LAST",$A135,$A135)</f>
        <v>20.059999999999999</v>
      </c>
    </row>
    <row r="136" spans="1:8" x14ac:dyDescent="0.25">
      <c r="A136" s="1">
        <v>45608</v>
      </c>
      <c r="B136">
        <v>5983.99</v>
      </c>
      <c r="C136" cm="1">
        <f t="array" ref="C136">_xll.BDH("SPX Index",C$1,$A136,$A136)</f>
        <v>76.860600000000005</v>
      </c>
      <c r="D136" cm="1">
        <f t="array" ref="D136">_xll.BDH("SPX Index",D$1,$A136,$A136)</f>
        <v>79.882800000000003</v>
      </c>
      <c r="E136" cm="1">
        <f t="array" ref="E136">_xll.BDH("SPX Index",E$1,$A136,$A136)</f>
        <v>17.750399999999999</v>
      </c>
      <c r="F136" cm="1">
        <f t="array" ref="F136">_xll.BDH("SPX Index",F$1,$A136,$A136)</f>
        <v>36.576799999999999</v>
      </c>
      <c r="G136" cm="1">
        <f t="array" ref="G136">_xll.BDH(_xlfn.CONCAT(G$1," INDEX"),"PX_LAST",$A136,$A136)</f>
        <v>4.3586999999999998</v>
      </c>
      <c r="H136" cm="1">
        <f t="array" ref="H136">_xll.BDH(_xlfn.CONCAT(H$1," INDEX"),"PX_LAST",$A136,$A136)</f>
        <v>20.170000000000002</v>
      </c>
    </row>
    <row r="137" spans="1:8" x14ac:dyDescent="0.25">
      <c r="A137" s="1">
        <v>45607</v>
      </c>
      <c r="B137">
        <v>6001.35</v>
      </c>
      <c r="C137" cm="1">
        <f t="array" ref="C137">_xll.BDH("SPX Index",C$1,$A137,$A137)</f>
        <v>76.840199999999996</v>
      </c>
      <c r="D137" cm="1">
        <f t="array" ref="D137">_xll.BDH("SPX Index",D$1,$A137,$A137)</f>
        <v>79.908100000000005</v>
      </c>
      <c r="E137" cm="1">
        <f t="array" ref="E137">_xll.BDH("SPX Index",E$1,$A137,$A137)</f>
        <v>17.7515</v>
      </c>
      <c r="F137" cm="1">
        <f t="array" ref="F137">_xll.BDH("SPX Index",F$1,$A137,$A137)</f>
        <v>36.576799999999999</v>
      </c>
      <c r="G137" cm="1">
        <f t="array" ref="G137">_xll.BDH(_xlfn.CONCAT(G$1," INDEX"),"PX_LAST",$A137,$A137)</f>
        <v>4.2944000000000004</v>
      </c>
      <c r="H137" cm="1">
        <f t="array" ref="H137">_xll.BDH(_xlfn.CONCAT(H$1," INDEX"),"PX_LAST",$A137,$A137)</f>
        <v>20.14</v>
      </c>
    </row>
    <row r="138" spans="1:8" x14ac:dyDescent="0.25">
      <c r="A138" s="1">
        <v>45604</v>
      </c>
      <c r="B138">
        <v>5995.54</v>
      </c>
      <c r="C138" cm="1">
        <f t="array" ref="C138">_xll.BDH("SPX Index",C$1,$A138,$A138)</f>
        <v>76.784400000000005</v>
      </c>
      <c r="D138" cm="1">
        <f t="array" ref="D138">_xll.BDH("SPX Index",D$1,$A138,$A138)</f>
        <v>79.864500000000007</v>
      </c>
      <c r="E138" cm="1">
        <f t="array" ref="E138">_xll.BDH("SPX Index",E$1,$A138,$A138)</f>
        <v>17.785299999999999</v>
      </c>
      <c r="F138" cm="1">
        <f t="array" ref="F138">_xll.BDH("SPX Index",F$1,$A138,$A138)</f>
        <v>36.576799999999999</v>
      </c>
      <c r="G138" cm="1">
        <f t="array" ref="G138">_xll.BDH(_xlfn.CONCAT(G$1," INDEX"),"PX_LAST",$A138,$A138)</f>
        <v>4.2944000000000004</v>
      </c>
      <c r="H138" cm="1">
        <f t="array" ref="H138">_xll.BDH(_xlfn.CONCAT(H$1," INDEX"),"PX_LAST",$A138,$A138)</f>
        <v>20.239999999999998</v>
      </c>
    </row>
    <row r="139" spans="1:8" x14ac:dyDescent="0.25">
      <c r="A139" s="1">
        <v>45603</v>
      </c>
      <c r="B139">
        <v>5973.1</v>
      </c>
      <c r="C139" cm="1">
        <f t="array" ref="C139">_xll.BDH("SPX Index",C$1,$A139,$A139)</f>
        <v>76.723500000000001</v>
      </c>
      <c r="D139" cm="1">
        <f t="array" ref="D139">_xll.BDH("SPX Index",D$1,$A139,$A139)</f>
        <v>79.816900000000004</v>
      </c>
      <c r="E139" cm="1">
        <f t="array" ref="E139">_xll.BDH("SPX Index",E$1,$A139,$A139)</f>
        <v>17.7851</v>
      </c>
      <c r="F139" cm="1">
        <f t="array" ref="F139">_xll.BDH("SPX Index",F$1,$A139,$A139)</f>
        <v>36.576799999999999</v>
      </c>
      <c r="G139" cm="1">
        <f t="array" ref="G139">_xll.BDH(_xlfn.CONCAT(G$1," INDEX"),"PX_LAST",$A139,$A139)</f>
        <v>4.2553999999999998</v>
      </c>
      <c r="H139" cm="1">
        <f t="array" ref="H139">_xll.BDH(_xlfn.CONCAT(H$1," INDEX"),"PX_LAST",$A139,$A139)</f>
        <v>20.260000000000002</v>
      </c>
    </row>
    <row r="140" spans="1:8" x14ac:dyDescent="0.25">
      <c r="A140" s="1">
        <v>45602</v>
      </c>
      <c r="B140">
        <v>5929.04</v>
      </c>
      <c r="C140" cm="1">
        <f t="array" ref="C140">_xll.BDH("SPX Index",C$1,$A140,$A140)</f>
        <v>76.385400000000004</v>
      </c>
      <c r="D140" cm="1">
        <f t="array" ref="D140">_xll.BDH("SPX Index",D$1,$A140,$A140)</f>
        <v>79.816999999999993</v>
      </c>
      <c r="E140" cm="1">
        <f t="array" ref="E140">_xll.BDH("SPX Index",E$1,$A140,$A140)</f>
        <v>17.782499999999999</v>
      </c>
      <c r="F140" cm="1">
        <f t="array" ref="F140">_xll.BDH("SPX Index",F$1,$A140,$A140)</f>
        <v>36.576799999999999</v>
      </c>
      <c r="G140" cm="1">
        <f t="array" ref="G140">_xll.BDH(_xlfn.CONCAT(G$1," INDEX"),"PX_LAST",$A140,$A140)</f>
        <v>4.3071000000000002</v>
      </c>
      <c r="H140" cm="1">
        <f t="array" ref="H140">_xll.BDH(_xlfn.CONCAT(H$1," INDEX"),"PX_LAST",$A140,$A140)</f>
        <v>20.47</v>
      </c>
    </row>
    <row r="141" spans="1:8" x14ac:dyDescent="0.25">
      <c r="A141" s="1">
        <v>45601</v>
      </c>
      <c r="B141">
        <v>5782.76</v>
      </c>
      <c r="C141" cm="1">
        <f t="array" ref="C141">_xll.BDH("SPX Index",C$1,$A141,$A141)</f>
        <v>76.355800000000002</v>
      </c>
      <c r="D141" cm="1">
        <f t="array" ref="D141">_xll.BDH("SPX Index",D$1,$A141,$A141)</f>
        <v>79.497600000000006</v>
      </c>
      <c r="E141" cm="1">
        <f t="array" ref="E141">_xll.BDH("SPX Index",E$1,$A141,$A141)</f>
        <v>17.801500000000001</v>
      </c>
      <c r="F141" cm="1">
        <f t="array" ref="F141">_xll.BDH("SPX Index",F$1,$A141,$A141)</f>
        <v>36.576799999999999</v>
      </c>
      <c r="G141" cm="1">
        <f t="array" ref="G141">_xll.BDH(_xlfn.CONCAT(G$1," INDEX"),"PX_LAST",$A141,$A141)</f>
        <v>4.2454000000000001</v>
      </c>
      <c r="H141" cm="1">
        <f t="array" ref="H141">_xll.BDH(_xlfn.CONCAT(H$1," INDEX"),"PX_LAST",$A141,$A141)</f>
        <v>21.51</v>
      </c>
    </row>
    <row r="142" spans="1:8" x14ac:dyDescent="0.25">
      <c r="A142" s="1">
        <v>45600</v>
      </c>
      <c r="B142">
        <v>5712.69</v>
      </c>
      <c r="C142" cm="1">
        <f t="array" ref="C142">_xll.BDH("SPX Index",C$1,$A142,$A142)</f>
        <v>76.3322</v>
      </c>
      <c r="D142" cm="1">
        <f t="array" ref="D142">_xll.BDH("SPX Index",D$1,$A142,$A142)</f>
        <v>79.509200000000007</v>
      </c>
      <c r="E142" cm="1">
        <f t="array" ref="E142">_xll.BDH("SPX Index",E$1,$A142,$A142)</f>
        <v>17.8171</v>
      </c>
      <c r="F142" cm="1">
        <f t="array" ref="F142">_xll.BDH("SPX Index",F$1,$A142,$A142)</f>
        <v>36.576799999999999</v>
      </c>
      <c r="G142" cm="1">
        <f t="array" ref="G142">_xll.BDH(_xlfn.CONCAT(G$1," INDEX"),"PX_LAST",$A142,$A142)</f>
        <v>4.2458</v>
      </c>
      <c r="H142" cm="1">
        <f t="array" ref="H142">_xll.BDH(_xlfn.CONCAT(H$1," INDEX"),"PX_LAST",$A142,$A142)</f>
        <v>22.37</v>
      </c>
    </row>
    <row r="143" spans="1:8" x14ac:dyDescent="0.25">
      <c r="A143" s="1">
        <v>45597</v>
      </c>
      <c r="B143">
        <v>5728.8</v>
      </c>
      <c r="C143" cm="1">
        <f t="array" ref="C143">_xll.BDH("SPX Index",C$1,$A143,$A143)</f>
        <v>76.383899999999997</v>
      </c>
      <c r="D143" cm="1">
        <f t="array" ref="D143">_xll.BDH("SPX Index",D$1,$A143,$A143)</f>
        <v>79.509</v>
      </c>
      <c r="E143" cm="1">
        <f t="array" ref="E143">_xll.BDH("SPX Index",E$1,$A143,$A143)</f>
        <v>17.756399999999999</v>
      </c>
      <c r="F143" cm="1">
        <f t="array" ref="F143">_xll.BDH("SPX Index",F$1,$A143,$A143)</f>
        <v>36.576000000000001</v>
      </c>
      <c r="G143" cm="1">
        <f t="array" ref="G143">_xll.BDH(_xlfn.CONCAT(G$1," INDEX"),"PX_LAST",$A143,$A143)</f>
        <v>4.2649999999999997</v>
      </c>
      <c r="H143" cm="1">
        <f t="array" ref="H143">_xll.BDH(_xlfn.CONCAT(H$1," INDEX"),"PX_LAST",$A143,$A143)</f>
        <v>22.41</v>
      </c>
    </row>
    <row r="144" spans="1:8" x14ac:dyDescent="0.25">
      <c r="A144" s="1">
        <v>45596</v>
      </c>
      <c r="B144">
        <v>5705.45</v>
      </c>
      <c r="C144" cm="1">
        <f t="array" ref="C144">_xll.BDH("SPX Index",C$1,$A144,$A144)</f>
        <v>76.363</v>
      </c>
      <c r="D144" cm="1">
        <f t="array" ref="D144">_xll.BDH("SPX Index",D$1,$A144,$A144)</f>
        <v>79.678399999999996</v>
      </c>
      <c r="E144" cm="1">
        <f t="array" ref="E144">_xll.BDH("SPX Index",E$1,$A144,$A144)</f>
        <v>17.7606</v>
      </c>
      <c r="F144" cm="1">
        <f t="array" ref="F144">_xll.BDH("SPX Index",F$1,$A144,$A144)</f>
        <v>36.576000000000001</v>
      </c>
      <c r="G144" cm="1">
        <f t="array" ref="G144">_xll.BDH(_xlfn.CONCAT(G$1," INDEX"),"PX_LAST",$A144,$A144)</f>
        <v>4.2687999999999997</v>
      </c>
      <c r="H144" cm="1">
        <f t="array" ref="H144">_xll.BDH(_xlfn.CONCAT(H$1," INDEX"),"PX_LAST",$A144,$A144)</f>
        <v>22.73</v>
      </c>
    </row>
    <row r="145" spans="1:8" x14ac:dyDescent="0.25">
      <c r="A145" s="1">
        <v>45595</v>
      </c>
      <c r="B145">
        <v>5813.67</v>
      </c>
      <c r="C145" cm="1">
        <f t="array" ref="C145">_xll.BDH("SPX Index",C$1,$A145,$A145)</f>
        <v>76.448499999999996</v>
      </c>
      <c r="D145" cm="1">
        <f t="array" ref="D145">_xll.BDH("SPX Index",D$1,$A145,$A145)</f>
        <v>79.942400000000006</v>
      </c>
      <c r="E145" cm="1">
        <f t="array" ref="E145">_xll.BDH("SPX Index",E$1,$A145,$A145)</f>
        <v>17.9495</v>
      </c>
      <c r="F145" cm="1">
        <f t="array" ref="F145">_xll.BDH("SPX Index",F$1,$A145,$A145)</f>
        <v>36.576000000000001</v>
      </c>
      <c r="G145" cm="1">
        <f t="array" ref="G145">_xll.BDH(_xlfn.CONCAT(G$1," INDEX"),"PX_LAST",$A145,$A145)</f>
        <v>4.28</v>
      </c>
      <c r="H145" cm="1">
        <f t="array" ref="H145">_xll.BDH(_xlfn.CONCAT(H$1," INDEX"),"PX_LAST",$A145,$A145)</f>
        <v>21.94</v>
      </c>
    </row>
    <row r="146" spans="1:8" x14ac:dyDescent="0.25">
      <c r="A146" s="1">
        <v>45594</v>
      </c>
      <c r="B146">
        <v>5832.92</v>
      </c>
      <c r="C146" cm="1">
        <f t="array" ref="C146">_xll.BDH("SPX Index",C$1,$A146,$A146)</f>
        <v>76.444400000000002</v>
      </c>
      <c r="D146" cm="1">
        <f t="array" ref="D146">_xll.BDH("SPX Index",D$1,$A146,$A146)</f>
        <v>79.913399999999996</v>
      </c>
      <c r="E146" cm="1">
        <f t="array" ref="E146">_xll.BDH("SPX Index",E$1,$A146,$A146)</f>
        <v>17.949200000000001</v>
      </c>
      <c r="F146" cm="1">
        <f t="array" ref="F146">_xll.BDH("SPX Index",F$1,$A146,$A146)</f>
        <v>36.576000000000001</v>
      </c>
      <c r="G146" cm="1">
        <f t="array" ref="G146">_xll.BDH(_xlfn.CONCAT(G$1," INDEX"),"PX_LAST",$A146,$A146)</f>
        <v>4.2647000000000004</v>
      </c>
      <c r="H146" cm="1">
        <f t="array" ref="H146">_xll.BDH(_xlfn.CONCAT(H$1," INDEX"),"PX_LAST",$A146,$A146)</f>
        <v>21.44</v>
      </c>
    </row>
    <row r="147" spans="1:8" x14ac:dyDescent="0.25">
      <c r="A147" s="1">
        <v>45593</v>
      </c>
      <c r="B147">
        <v>5823.52</v>
      </c>
      <c r="C147" cm="1">
        <f t="array" ref="C147">_xll.BDH("SPX Index",C$1,$A147,$A147)</f>
        <v>76.436700000000002</v>
      </c>
      <c r="D147" cm="1">
        <f t="array" ref="D147">_xll.BDH("SPX Index",D$1,$A147,$A147)</f>
        <v>79.873599999999996</v>
      </c>
      <c r="E147" cm="1">
        <f t="array" ref="E147">_xll.BDH("SPX Index",E$1,$A147,$A147)</f>
        <v>17.905799999999999</v>
      </c>
      <c r="F147" cm="1">
        <f t="array" ref="F147">_xll.BDH("SPX Index",F$1,$A147,$A147)</f>
        <v>36.576000000000001</v>
      </c>
      <c r="G147" cm="1">
        <f t="array" ref="G147">_xll.BDH(_xlfn.CONCAT(G$1," INDEX"),"PX_LAST",$A147,$A147)</f>
        <v>4.2892999999999999</v>
      </c>
      <c r="H147" cm="1">
        <f t="array" ref="H147">_xll.BDH(_xlfn.CONCAT(H$1," INDEX"),"PX_LAST",$A147,$A147)</f>
        <v>21.6</v>
      </c>
    </row>
    <row r="148" spans="1:8" x14ac:dyDescent="0.25">
      <c r="A148" s="1">
        <v>45590</v>
      </c>
      <c r="B148">
        <v>5808.12</v>
      </c>
      <c r="C148" cm="1">
        <f t="array" ref="C148">_xll.BDH("SPX Index",C$1,$A148,$A148)</f>
        <v>76.440399999999997</v>
      </c>
      <c r="D148" cm="1">
        <f t="array" ref="D148">_xll.BDH("SPX Index",D$1,$A148,$A148)</f>
        <v>79.9499</v>
      </c>
      <c r="E148" cm="1">
        <f t="array" ref="E148">_xll.BDH("SPX Index",E$1,$A148,$A148)</f>
        <v>17.912199999999999</v>
      </c>
      <c r="F148" cm="1">
        <f t="array" ref="F148">_xll.BDH("SPX Index",F$1,$A148,$A148)</f>
        <v>36.576000000000001</v>
      </c>
      <c r="G148" cm="1">
        <f t="array" ref="G148">_xll.BDH(_xlfn.CONCAT(G$1," INDEX"),"PX_LAST",$A148,$A148)</f>
        <v>4.2949999999999999</v>
      </c>
      <c r="H148" cm="1">
        <f t="array" ref="H148">_xll.BDH(_xlfn.CONCAT(H$1," INDEX"),"PX_LAST",$A148,$A148)</f>
        <v>21.98</v>
      </c>
    </row>
    <row r="149" spans="1:8" x14ac:dyDescent="0.25">
      <c r="A149" s="1">
        <v>45589</v>
      </c>
      <c r="B149">
        <v>5809.86</v>
      </c>
      <c r="C149" cm="1">
        <f t="array" ref="C149">_xll.BDH("SPX Index",C$1,$A149,$A149)</f>
        <v>76.479699999999994</v>
      </c>
      <c r="D149" cm="1">
        <f t="array" ref="D149">_xll.BDH("SPX Index",D$1,$A149,$A149)</f>
        <v>80.0428</v>
      </c>
      <c r="E149" cm="1">
        <f t="array" ref="E149">_xll.BDH("SPX Index",E$1,$A149,$A149)</f>
        <v>17.910900000000002</v>
      </c>
      <c r="F149" cm="1">
        <f t="array" ref="F149">_xll.BDH("SPX Index",F$1,$A149,$A149)</f>
        <v>36.576000000000001</v>
      </c>
      <c r="G149" cm="1">
        <f t="array" ref="G149">_xll.BDH(_xlfn.CONCAT(G$1," INDEX"),"PX_LAST",$A149,$A149)</f>
        <v>4.2530999999999999</v>
      </c>
      <c r="H149" cm="1">
        <f t="array" ref="H149">_xll.BDH(_xlfn.CONCAT(H$1," INDEX"),"PX_LAST",$A149,$A149)</f>
        <v>21.61</v>
      </c>
    </row>
    <row r="150" spans="1:8" x14ac:dyDescent="0.25">
      <c r="A150" s="1">
        <v>45588</v>
      </c>
      <c r="B150">
        <v>5797.42</v>
      </c>
      <c r="C150" cm="1">
        <f t="array" ref="C150">_xll.BDH("SPX Index",C$1,$A150,$A150)</f>
        <v>76.502899999999997</v>
      </c>
      <c r="D150" cm="1">
        <f t="array" ref="D150">_xll.BDH("SPX Index",D$1,$A150,$A150)</f>
        <v>79.985600000000005</v>
      </c>
      <c r="E150" cm="1">
        <f t="array" ref="E150">_xll.BDH("SPX Index",E$1,$A150,$A150)</f>
        <v>17.952400000000001</v>
      </c>
      <c r="F150" cm="1">
        <f t="array" ref="F150">_xll.BDH("SPX Index",F$1,$A150,$A150)</f>
        <v>36.576000000000001</v>
      </c>
      <c r="G150" cm="1">
        <f t="array" ref="G150">_xll.BDH(_xlfn.CONCAT(G$1," INDEX"),"PX_LAST",$A150,$A150)</f>
        <v>4.2721999999999998</v>
      </c>
      <c r="H150" cm="1">
        <f t="array" ref="H150">_xll.BDH(_xlfn.CONCAT(H$1," INDEX"),"PX_LAST",$A150,$A150)</f>
        <v>21.64</v>
      </c>
    </row>
    <row r="151" spans="1:8" x14ac:dyDescent="0.25">
      <c r="A151" s="1">
        <v>45587</v>
      </c>
      <c r="B151">
        <v>5851.2</v>
      </c>
      <c r="C151" cm="1">
        <f t="array" ref="C151">_xll.BDH("SPX Index",C$1,$A151,$A151)</f>
        <v>76.533799999999999</v>
      </c>
      <c r="D151" cm="1">
        <f t="array" ref="D151">_xll.BDH("SPX Index",D$1,$A151,$A151)</f>
        <v>80.007499999999993</v>
      </c>
      <c r="E151" cm="1">
        <f t="array" ref="E151">_xll.BDH("SPX Index",E$1,$A151,$A151)</f>
        <v>17.966699999999999</v>
      </c>
      <c r="F151" cm="1">
        <f t="array" ref="F151">_xll.BDH("SPX Index",F$1,$A151,$A151)</f>
        <v>36.576000000000001</v>
      </c>
      <c r="G151" cm="1">
        <f t="array" ref="G151">_xll.BDH(_xlfn.CONCAT(G$1," INDEX"),"PX_LAST",$A151,$A151)</f>
        <v>4.2484000000000002</v>
      </c>
      <c r="H151" cm="1">
        <f t="array" ref="H151">_xll.BDH(_xlfn.CONCAT(H$1," INDEX"),"PX_LAST",$A151,$A151)</f>
        <v>21.26</v>
      </c>
    </row>
    <row r="152" spans="1:8" x14ac:dyDescent="0.25">
      <c r="A152" s="1">
        <v>45586</v>
      </c>
      <c r="B152">
        <v>5853.98</v>
      </c>
      <c r="C152" cm="1">
        <f t="array" ref="C152">_xll.BDH("SPX Index",C$1,$A152,$A152)</f>
        <v>76.566900000000004</v>
      </c>
      <c r="D152" cm="1">
        <f t="array" ref="D152">_xll.BDH("SPX Index",D$1,$A152,$A152)</f>
        <v>80.031999999999996</v>
      </c>
      <c r="E152" cm="1">
        <f t="array" ref="E152">_xll.BDH("SPX Index",E$1,$A152,$A152)</f>
        <v>17.968299999999999</v>
      </c>
      <c r="F152" cm="1">
        <f t="array" ref="F152">_xll.BDH("SPX Index",F$1,$A152,$A152)</f>
        <v>36.576000000000001</v>
      </c>
      <c r="G152" cm="1">
        <f t="array" ref="G152">_xll.BDH(_xlfn.CONCAT(G$1," INDEX"),"PX_LAST",$A152,$A152)</f>
        <v>4.2488000000000001</v>
      </c>
      <c r="H152" cm="1">
        <f t="array" ref="H152">_xll.BDH(_xlfn.CONCAT(H$1," INDEX"),"PX_LAST",$A152,$A152)</f>
        <v>21.26</v>
      </c>
    </row>
    <row r="153" spans="1:8" x14ac:dyDescent="0.25">
      <c r="A153" s="1">
        <v>45583</v>
      </c>
      <c r="B153">
        <v>5864.67</v>
      </c>
      <c r="C153" cm="1">
        <f t="array" ref="C153">_xll.BDH("SPX Index",C$1,$A153,$A153)</f>
        <v>76.566599999999994</v>
      </c>
      <c r="D153" cm="1">
        <f t="array" ref="D153">_xll.BDH("SPX Index",D$1,$A153,$A153)</f>
        <v>80.019900000000007</v>
      </c>
      <c r="E153" cm="1">
        <f t="array" ref="E153">_xll.BDH("SPX Index",E$1,$A153,$A153)</f>
        <v>18.0152</v>
      </c>
      <c r="F153" cm="1">
        <f t="array" ref="F153">_xll.BDH("SPX Index",F$1,$A153,$A153)</f>
        <v>36.576000000000001</v>
      </c>
      <c r="G153" cm="1">
        <f t="array" ref="G153">_xll.BDH(_xlfn.CONCAT(G$1," INDEX"),"PX_LAST",$A153,$A153)</f>
        <v>4.1845999999999997</v>
      </c>
      <c r="H153" cm="1">
        <f t="array" ref="H153">_xll.BDH(_xlfn.CONCAT(H$1," INDEX"),"PX_LAST",$A153,$A153)</f>
        <v>21.29</v>
      </c>
    </row>
    <row r="154" spans="1:8" x14ac:dyDescent="0.25">
      <c r="A154" s="1">
        <v>45582</v>
      </c>
      <c r="B154">
        <v>5841.47</v>
      </c>
      <c r="C154" cm="1">
        <f t="array" ref="C154">_xll.BDH("SPX Index",C$1,$A154,$A154)</f>
        <v>76.565200000000004</v>
      </c>
      <c r="D154" cm="1">
        <f t="array" ref="D154">_xll.BDH("SPX Index",D$1,$A154,$A154)</f>
        <v>80.027600000000007</v>
      </c>
      <c r="E154" cm="1">
        <f t="array" ref="E154">_xll.BDH("SPX Index",E$1,$A154,$A154)</f>
        <v>18.041</v>
      </c>
      <c r="F154" cm="1">
        <f t="array" ref="F154">_xll.BDH("SPX Index",F$1,$A154,$A154)</f>
        <v>36.576000000000001</v>
      </c>
      <c r="G154" cm="1">
        <f t="array" ref="G154">_xll.BDH(_xlfn.CONCAT(G$1," INDEX"),"PX_LAST",$A154,$A154)</f>
        <v>4.2070999999999996</v>
      </c>
      <c r="H154" cm="1">
        <f t="array" ref="H154">_xll.BDH(_xlfn.CONCAT(H$1," INDEX"),"PX_LAST",$A154,$A154)</f>
        <v>21.66</v>
      </c>
    </row>
    <row r="155" spans="1:8" x14ac:dyDescent="0.25">
      <c r="A155" s="1">
        <v>45581</v>
      </c>
      <c r="B155">
        <v>5842.47</v>
      </c>
      <c r="C155" cm="1">
        <f t="array" ref="C155">_xll.BDH("SPX Index",C$1,$A155,$A155)</f>
        <v>76.607399999999998</v>
      </c>
      <c r="D155" cm="1">
        <f t="array" ref="D155">_xll.BDH("SPX Index",D$1,$A155,$A155)</f>
        <v>80.080100000000002</v>
      </c>
      <c r="E155" cm="1">
        <f t="array" ref="E155">_xll.BDH("SPX Index",E$1,$A155,$A155)</f>
        <v>18.041899999999998</v>
      </c>
      <c r="F155" cm="1">
        <f t="array" ref="F155">_xll.BDH("SPX Index",F$1,$A155,$A155)</f>
        <v>36.576000000000001</v>
      </c>
      <c r="G155" cm="1">
        <f t="array" ref="G155">_xll.BDH(_xlfn.CONCAT(G$1," INDEX"),"PX_LAST",$A155,$A155)</f>
        <v>4.1725000000000003</v>
      </c>
      <c r="H155" cm="1">
        <f t="array" ref="H155">_xll.BDH(_xlfn.CONCAT(H$1," INDEX"),"PX_LAST",$A155,$A155)</f>
        <v>21.92</v>
      </c>
    </row>
    <row r="156" spans="1:8" x14ac:dyDescent="0.25">
      <c r="A156" s="1">
        <v>45580</v>
      </c>
      <c r="B156">
        <v>5815.26</v>
      </c>
      <c r="C156" cm="1">
        <f t="array" ref="C156">_xll.BDH("SPX Index",C$1,$A156,$A156)</f>
        <v>76.624899999999997</v>
      </c>
      <c r="D156" cm="1">
        <f t="array" ref="D156">_xll.BDH("SPX Index",D$1,$A156,$A156)</f>
        <v>80.097800000000007</v>
      </c>
      <c r="E156" cm="1">
        <f t="array" ref="E156">_xll.BDH("SPX Index",E$1,$A156,$A156)</f>
        <v>18.0625</v>
      </c>
      <c r="F156" cm="1">
        <f t="array" ref="F156">_xll.BDH("SPX Index",F$1,$A156,$A156)</f>
        <v>36.576000000000001</v>
      </c>
      <c r="G156" cm="1">
        <f t="array" ref="G156">_xll.BDH(_xlfn.CONCAT(G$1," INDEX"),"PX_LAST",$A156,$A156)</f>
        <v>4.1755000000000004</v>
      </c>
      <c r="H156" cm="1">
        <f t="array" ref="H156">_xll.BDH(_xlfn.CONCAT(H$1," INDEX"),"PX_LAST",$A156,$A156)</f>
        <v>22.14</v>
      </c>
    </row>
    <row r="157" spans="1:8" x14ac:dyDescent="0.25">
      <c r="A157" s="1">
        <v>45579</v>
      </c>
      <c r="B157">
        <v>5859.85</v>
      </c>
      <c r="C157" cm="1">
        <f t="array" ref="C157">_xll.BDH("SPX Index",C$1,$A157,$A157)</f>
        <v>76.588499999999996</v>
      </c>
      <c r="D157" cm="1">
        <f t="array" ref="D157">_xll.BDH("SPX Index",D$1,$A157,$A157)</f>
        <v>80.0578</v>
      </c>
      <c r="E157" cm="1">
        <f t="array" ref="E157">_xll.BDH("SPX Index",E$1,$A157,$A157)</f>
        <v>18.112400000000001</v>
      </c>
      <c r="F157" cm="1">
        <f t="array" ref="F157">_xll.BDH("SPX Index",F$1,$A157,$A157)</f>
        <v>36.576000000000001</v>
      </c>
      <c r="G157" cm="1">
        <f t="array" ref="G157">_xll.BDH(_xlfn.CONCAT(G$1," INDEX"),"PX_LAST",$A157,$A157)</f>
        <v>4.1813000000000002</v>
      </c>
      <c r="H157" cm="1">
        <f t="array" ref="H157">_xll.BDH(_xlfn.CONCAT(H$1," INDEX"),"PX_LAST",$A157,$A157)</f>
        <v>21.95</v>
      </c>
    </row>
    <row r="158" spans="1:8" x14ac:dyDescent="0.25">
      <c r="A158" s="1">
        <v>45576</v>
      </c>
      <c r="B158">
        <v>5815.03</v>
      </c>
      <c r="C158" cm="1">
        <f t="array" ref="C158">_xll.BDH("SPX Index",C$1,$A158,$A158)</f>
        <v>76.584299999999999</v>
      </c>
      <c r="D158" cm="1">
        <f t="array" ref="D158">_xll.BDH("SPX Index",D$1,$A158,$A158)</f>
        <v>80.076999999999998</v>
      </c>
      <c r="E158" cm="1">
        <f t="array" ref="E158">_xll.BDH("SPX Index",E$1,$A158,$A158)</f>
        <v>18.032399999999999</v>
      </c>
      <c r="F158" cm="1">
        <f t="array" ref="F158">_xll.BDH("SPX Index",F$1,$A158,$A158)</f>
        <v>36.576000000000001</v>
      </c>
      <c r="G158" cm="1">
        <f t="array" ref="G158">_xll.BDH(_xlfn.CONCAT(G$1," INDEX"),"PX_LAST",$A158,$A158)</f>
        <v>4.1813000000000002</v>
      </c>
      <c r="H158" cm="1">
        <f t="array" ref="H158">_xll.BDH(_xlfn.CONCAT(H$1," INDEX"),"PX_LAST",$A158,$A158)</f>
        <v>22.47</v>
      </c>
    </row>
    <row r="159" spans="1:8" x14ac:dyDescent="0.25">
      <c r="A159" s="1">
        <v>45575</v>
      </c>
      <c r="B159">
        <v>5780.05</v>
      </c>
      <c r="C159" cm="1">
        <f t="array" ref="C159">_xll.BDH("SPX Index",C$1,$A159,$A159)</f>
        <v>76.552099999999996</v>
      </c>
      <c r="D159" cm="1">
        <f t="array" ref="D159">_xll.BDH("SPX Index",D$1,$A159,$A159)</f>
        <v>80.072800000000001</v>
      </c>
      <c r="E159" cm="1">
        <f t="array" ref="E159">_xll.BDH("SPX Index",E$1,$A159,$A159)</f>
        <v>18.037400000000002</v>
      </c>
      <c r="F159" cm="1">
        <f t="array" ref="F159">_xll.BDH("SPX Index",F$1,$A159,$A159)</f>
        <v>36.576000000000001</v>
      </c>
      <c r="G159" cm="1">
        <f t="array" ref="G159">_xll.BDH(_xlfn.CONCAT(G$1," INDEX"),"PX_LAST",$A159,$A159)</f>
        <v>4.1989000000000001</v>
      </c>
      <c r="H159" cm="1">
        <f t="array" ref="H159">_xll.BDH(_xlfn.CONCAT(H$1," INDEX"),"PX_LAST",$A159,$A159)</f>
        <v>22.54</v>
      </c>
    </row>
    <row r="160" spans="1:8" x14ac:dyDescent="0.25">
      <c r="A160" s="1">
        <v>45574</v>
      </c>
      <c r="B160">
        <v>5792.04</v>
      </c>
      <c r="C160" cm="1">
        <f t="array" ref="C160">_xll.BDH("SPX Index",C$1,$A160,$A160)</f>
        <v>76.563999999999993</v>
      </c>
      <c r="D160" cm="1">
        <f t="array" ref="D160">_xll.BDH("SPX Index",D$1,$A160,$A160)</f>
        <v>80.079899999999995</v>
      </c>
      <c r="E160" cm="1">
        <f t="array" ref="E160">_xll.BDH("SPX Index",E$1,$A160,$A160)</f>
        <v>18.066700000000001</v>
      </c>
      <c r="F160" cm="1">
        <f t="array" ref="F160">_xll.BDH("SPX Index",F$1,$A160,$A160)</f>
        <v>36.576000000000001</v>
      </c>
      <c r="G160" cm="1">
        <f t="array" ref="G160">_xll.BDH(_xlfn.CONCAT(G$1," INDEX"),"PX_LAST",$A160,$A160)</f>
        <v>4.2369000000000003</v>
      </c>
      <c r="H160" cm="1">
        <f t="array" ref="H160">_xll.BDH(_xlfn.CONCAT(H$1," INDEX"),"PX_LAST",$A160,$A160)</f>
        <v>22.55</v>
      </c>
    </row>
    <row r="161" spans="1:8" x14ac:dyDescent="0.25">
      <c r="A161" s="1">
        <v>45573</v>
      </c>
      <c r="B161">
        <v>5751.13</v>
      </c>
      <c r="C161" cm="1">
        <f t="array" ref="C161">_xll.BDH("SPX Index",C$1,$A161,$A161)</f>
        <v>76.573800000000006</v>
      </c>
      <c r="D161" cm="1">
        <f t="array" ref="D161">_xll.BDH("SPX Index",D$1,$A161,$A161)</f>
        <v>80.058000000000007</v>
      </c>
      <c r="E161" cm="1">
        <f t="array" ref="E161">_xll.BDH("SPX Index",E$1,$A161,$A161)</f>
        <v>18.0733</v>
      </c>
      <c r="F161" cm="1">
        <f t="array" ref="F161">_xll.BDH("SPX Index",F$1,$A161,$A161)</f>
        <v>36.576000000000001</v>
      </c>
      <c r="G161" cm="1">
        <f t="array" ref="G161">_xll.BDH(_xlfn.CONCAT(G$1," INDEX"),"PX_LAST",$A161,$A161)</f>
        <v>4.1914999999999996</v>
      </c>
      <c r="H161" cm="1">
        <f t="array" ref="H161">_xll.BDH(_xlfn.CONCAT(H$1," INDEX"),"PX_LAST",$A161,$A161)</f>
        <v>22.8</v>
      </c>
    </row>
    <row r="162" spans="1:8" x14ac:dyDescent="0.25">
      <c r="A162" s="1">
        <v>45572</v>
      </c>
      <c r="B162">
        <v>5695.94</v>
      </c>
      <c r="C162" cm="1">
        <f t="array" ref="C162">_xll.BDH("SPX Index",C$1,$A162,$A162)</f>
        <v>76.590699999999998</v>
      </c>
      <c r="D162" cm="1">
        <f t="array" ref="D162">_xll.BDH("SPX Index",D$1,$A162,$A162)</f>
        <v>80.049199999999999</v>
      </c>
      <c r="E162" cm="1">
        <f t="array" ref="E162">_xll.BDH("SPX Index",E$1,$A162,$A162)</f>
        <v>18.142399999999999</v>
      </c>
      <c r="F162" cm="1">
        <f t="array" ref="F162">_xll.BDH("SPX Index",F$1,$A162,$A162)</f>
        <v>36.576000000000001</v>
      </c>
      <c r="G162" cm="1">
        <f t="array" ref="G162">_xll.BDH(_xlfn.CONCAT(G$1," INDEX"),"PX_LAST",$A162,$A162)</f>
        <v>4.2241999999999997</v>
      </c>
      <c r="H162" cm="1">
        <f t="array" ref="H162">_xll.BDH(_xlfn.CONCAT(H$1," INDEX"),"PX_LAST",$A162,$A162)</f>
        <v>23.2</v>
      </c>
    </row>
    <row r="163" spans="1:8" x14ac:dyDescent="0.25">
      <c r="A163" s="1">
        <v>45569</v>
      </c>
      <c r="B163">
        <v>5751.07</v>
      </c>
      <c r="C163" cm="1">
        <f t="array" ref="C163">_xll.BDH("SPX Index",C$1,$A163,$A163)</f>
        <v>76.629400000000004</v>
      </c>
      <c r="D163" cm="1">
        <f t="array" ref="D163">_xll.BDH("SPX Index",D$1,$A163,$A163)</f>
        <v>80.070499999999996</v>
      </c>
      <c r="E163" cm="1">
        <f t="array" ref="E163">_xll.BDH("SPX Index",E$1,$A163,$A163)</f>
        <v>18.164400000000001</v>
      </c>
      <c r="F163" cm="1">
        <f t="array" ref="F163">_xll.BDH("SPX Index",F$1,$A163,$A163)</f>
        <v>36.576000000000001</v>
      </c>
      <c r="G163" cm="1">
        <f t="array" ref="G163">_xll.BDH(_xlfn.CONCAT(G$1," INDEX"),"PX_LAST",$A163,$A163)</f>
        <v>4.1707000000000001</v>
      </c>
      <c r="H163" cm="1">
        <f t="array" ref="H163">_xll.BDH(_xlfn.CONCAT(H$1," INDEX"),"PX_LAST",$A163,$A163)</f>
        <v>22.32</v>
      </c>
    </row>
    <row r="164" spans="1:8" x14ac:dyDescent="0.25">
      <c r="A164" s="1">
        <v>45568</v>
      </c>
      <c r="B164">
        <v>5699.94</v>
      </c>
      <c r="C164" cm="1">
        <f t="array" ref="C164">_xll.BDH("SPX Index",C$1,$A164,$A164)</f>
        <v>76.599100000000007</v>
      </c>
      <c r="D164" cm="1">
        <f t="array" ref="D164">_xll.BDH("SPX Index",D$1,$A164,$A164)</f>
        <v>80.084199999999996</v>
      </c>
      <c r="E164" cm="1">
        <f t="array" ref="E164">_xll.BDH("SPX Index",E$1,$A164,$A164)</f>
        <v>18.161000000000001</v>
      </c>
      <c r="F164" cm="1">
        <f t="array" ref="F164">_xll.BDH("SPX Index",F$1,$A164,$A164)</f>
        <v>36.576000000000001</v>
      </c>
      <c r="G164" cm="1">
        <f t="array" ref="G164">_xll.BDH(_xlfn.CONCAT(G$1," INDEX"),"PX_LAST",$A164,$A164)</f>
        <v>4.0048000000000004</v>
      </c>
      <c r="H164" cm="1">
        <f t="array" ref="H164">_xll.BDH(_xlfn.CONCAT(H$1," INDEX"),"PX_LAST",$A164,$A164)</f>
        <v>22.86</v>
      </c>
    </row>
    <row r="165" spans="1:8" x14ac:dyDescent="0.25">
      <c r="A165" s="1">
        <v>45567</v>
      </c>
      <c r="B165">
        <v>5709.54</v>
      </c>
      <c r="C165" cm="1">
        <f t="array" ref="C165">_xll.BDH("SPX Index",C$1,$A165,$A165)</f>
        <v>76.604399999999998</v>
      </c>
      <c r="D165" cm="1">
        <f t="array" ref="D165">_xll.BDH("SPX Index",D$1,$A165,$A165)</f>
        <v>80.088200000000001</v>
      </c>
      <c r="E165" cm="1">
        <f t="array" ref="E165">_xll.BDH("SPX Index",E$1,$A165,$A165)</f>
        <v>18.188400000000001</v>
      </c>
      <c r="F165" cm="1">
        <f t="array" ref="F165">_xll.BDH("SPX Index",F$1,$A165,$A165)</f>
        <v>36.576000000000001</v>
      </c>
      <c r="G165" cm="1">
        <f t="array" ref="G165">_xll.BDH(_xlfn.CONCAT(G$1," INDEX"),"PX_LAST",$A165,$A165)</f>
        <v>3.9567000000000001</v>
      </c>
      <c r="H165" cm="1">
        <f t="array" ref="H165">_xll.BDH(_xlfn.CONCAT(H$1," INDEX"),"PX_LAST",$A165,$A165)</f>
        <v>22.43</v>
      </c>
    </row>
    <row r="166" spans="1:8" x14ac:dyDescent="0.25">
      <c r="A166" s="1">
        <v>45566</v>
      </c>
      <c r="B166">
        <v>5708.75</v>
      </c>
      <c r="C166" cm="1">
        <f t="array" ref="C166">_xll.BDH("SPX Index",C$1,$A166,$A166)</f>
        <v>76.465800000000002</v>
      </c>
      <c r="D166" cm="1">
        <f t="array" ref="D166">_xll.BDH("SPX Index",D$1,$A166,$A166)</f>
        <v>79.979900000000001</v>
      </c>
      <c r="E166" cm="1">
        <f t="array" ref="E166">_xll.BDH("SPX Index",E$1,$A166,$A166)</f>
        <v>18.2136</v>
      </c>
      <c r="F166" cm="1">
        <f t="array" ref="F166">_xll.BDH("SPX Index",F$1,$A166,$A166)</f>
        <v>36.576000000000001</v>
      </c>
      <c r="G166" cm="1">
        <f t="array" ref="G166">_xll.BDH(_xlfn.CONCAT(G$1," INDEX"),"PX_LAST",$A166,$A166)</f>
        <v>3.9697</v>
      </c>
      <c r="H166" cm="1">
        <f t="array" ref="H166">_xll.BDH(_xlfn.CONCAT(H$1," INDEX"),"PX_LAST",$A166,$A166)</f>
        <v>22.66</v>
      </c>
    </row>
    <row r="167" spans="1:8" x14ac:dyDescent="0.25">
      <c r="A167" s="1">
        <v>45565</v>
      </c>
      <c r="B167">
        <v>5762.48</v>
      </c>
      <c r="C167" cm="1">
        <f t="array" ref="C167">_xll.BDH("SPX Index",C$1,$A167,$A167)</f>
        <v>76.473100000000002</v>
      </c>
      <c r="D167" cm="1">
        <f t="array" ref="D167">_xll.BDH("SPX Index",D$1,$A167,$A167)</f>
        <v>79.985200000000006</v>
      </c>
      <c r="E167" cm="1">
        <f t="array" ref="E167">_xll.BDH("SPX Index",E$1,$A167,$A167)</f>
        <v>18.2148</v>
      </c>
      <c r="F167" cm="1">
        <f t="array" ref="F167">_xll.BDH("SPX Index",F$1,$A167,$A167)</f>
        <v>36.578000000000003</v>
      </c>
      <c r="G167" cm="1">
        <f t="array" ref="G167">_xll.BDH(_xlfn.CONCAT(G$1," INDEX"),"PX_LAST",$A167,$A167)</f>
        <v>4.0021000000000004</v>
      </c>
      <c r="H167" cm="1">
        <f t="array" ref="H167">_xll.BDH(_xlfn.CONCAT(H$1," INDEX"),"PX_LAST",$A167,$A167)</f>
        <v>21.85</v>
      </c>
    </row>
    <row r="168" spans="1:8" x14ac:dyDescent="0.25">
      <c r="A168" s="1">
        <v>45562</v>
      </c>
      <c r="B168">
        <v>5738.17</v>
      </c>
      <c r="C168" cm="1">
        <f t="array" ref="C168">_xll.BDH("SPX Index",C$1,$A168,$A168)</f>
        <v>76.431600000000003</v>
      </c>
      <c r="D168" cm="1">
        <f t="array" ref="D168">_xll.BDH("SPX Index",D$1,$A168,$A168)</f>
        <v>79.924899999999994</v>
      </c>
      <c r="E168" cm="1">
        <f t="array" ref="E168">_xll.BDH("SPX Index",E$1,$A168,$A168)</f>
        <v>18.2211</v>
      </c>
      <c r="F168" cm="1">
        <f t="array" ref="F168">_xll.BDH("SPX Index",F$1,$A168,$A168)</f>
        <v>36.578000000000003</v>
      </c>
      <c r="G168" cm="1">
        <f t="array" ref="G168">_xll.BDH(_xlfn.CONCAT(G$1," INDEX"),"PX_LAST",$A168,$A168)</f>
        <v>3.9220999999999999</v>
      </c>
      <c r="H168" cm="1">
        <f t="array" ref="H168">_xll.BDH(_xlfn.CONCAT(H$1," INDEX"),"PX_LAST",$A168,$A168)</f>
        <v>22.23</v>
      </c>
    </row>
    <row r="169" spans="1:8" x14ac:dyDescent="0.25">
      <c r="A169" s="1">
        <v>45561</v>
      </c>
      <c r="B169">
        <v>5745.37</v>
      </c>
      <c r="C169" cm="1">
        <f t="array" ref="C169">_xll.BDH("SPX Index",C$1,$A169,$A169)</f>
        <v>76.406599999999997</v>
      </c>
      <c r="D169" cm="1">
        <f t="array" ref="D169">_xll.BDH("SPX Index",D$1,$A169,$A169)</f>
        <v>79.899100000000004</v>
      </c>
      <c r="E169" cm="1">
        <f t="array" ref="E169">_xll.BDH("SPX Index",E$1,$A169,$A169)</f>
        <v>18.2241</v>
      </c>
      <c r="F169" cm="1">
        <f t="array" ref="F169">_xll.BDH("SPX Index",F$1,$A169,$A169)</f>
        <v>36.578000000000003</v>
      </c>
      <c r="G169" cm="1">
        <f t="array" ref="G169">_xll.BDH(_xlfn.CONCAT(G$1," INDEX"),"PX_LAST",$A169,$A169)</f>
        <v>3.9819</v>
      </c>
      <c r="H169" cm="1">
        <f t="array" ref="H169">_xll.BDH(_xlfn.CONCAT(H$1," INDEX"),"PX_LAST",$A169,$A169)</f>
        <v>21.6</v>
      </c>
    </row>
    <row r="170" spans="1:8" x14ac:dyDescent="0.25">
      <c r="A170" s="1">
        <v>45560</v>
      </c>
      <c r="B170">
        <v>5722.26</v>
      </c>
      <c r="C170" cm="1">
        <f t="array" ref="C170">_xll.BDH("SPX Index",C$1,$A170,$A170)</f>
        <v>76.394099999999995</v>
      </c>
      <c r="D170" cm="1">
        <f t="array" ref="D170">_xll.BDH("SPX Index",D$1,$A170,$A170)</f>
        <v>79.872</v>
      </c>
      <c r="E170" cm="1">
        <f t="array" ref="E170">_xll.BDH("SPX Index",E$1,$A170,$A170)</f>
        <v>18.213799999999999</v>
      </c>
      <c r="F170" cm="1">
        <f t="array" ref="F170">_xll.BDH("SPX Index",F$1,$A170,$A170)</f>
        <v>36.578000000000003</v>
      </c>
      <c r="G170" cm="1">
        <f t="array" ref="G170">_xll.BDH(_xlfn.CONCAT(G$1," INDEX"),"PX_LAST",$A170,$A170)</f>
        <v>3.9152999999999998</v>
      </c>
      <c r="H170" cm="1">
        <f t="array" ref="H170">_xll.BDH(_xlfn.CONCAT(H$1," INDEX"),"PX_LAST",$A170,$A170)</f>
        <v>21.49</v>
      </c>
    </row>
    <row r="171" spans="1:8" x14ac:dyDescent="0.25">
      <c r="A171" s="1">
        <v>45559</v>
      </c>
      <c r="B171">
        <v>5732.93</v>
      </c>
      <c r="C171" cm="1">
        <f t="array" ref="C171">_xll.BDH("SPX Index",C$1,$A171,$A171)</f>
        <v>76.418199999999999</v>
      </c>
      <c r="D171" cm="1">
        <f t="array" ref="D171">_xll.BDH("SPX Index",D$1,$A171,$A171)</f>
        <v>79.877499999999998</v>
      </c>
      <c r="E171" cm="1">
        <f t="array" ref="E171">_xll.BDH("SPX Index",E$1,$A171,$A171)</f>
        <v>18.2117</v>
      </c>
      <c r="F171" cm="1">
        <f t="array" ref="F171">_xll.BDH("SPX Index",F$1,$A171,$A171)</f>
        <v>36.578000000000003</v>
      </c>
      <c r="G171" cm="1">
        <f t="array" ref="G171">_xll.BDH(_xlfn.CONCAT(G$1," INDEX"),"PX_LAST",$A171,$A171)</f>
        <v>3.8915000000000002</v>
      </c>
      <c r="H171" cm="1">
        <f t="array" ref="H171">_xll.BDH(_xlfn.CONCAT(H$1," INDEX"),"PX_LAST",$A171,$A171)</f>
        <v>21.29</v>
      </c>
    </row>
    <row r="172" spans="1:8" x14ac:dyDescent="0.25">
      <c r="A172" s="1">
        <v>45558</v>
      </c>
      <c r="B172">
        <v>5718.57</v>
      </c>
      <c r="C172" cm="1">
        <f t="array" ref="C172">_xll.BDH("SPX Index",C$1,$A172,$A172)</f>
        <v>76.427999999999997</v>
      </c>
      <c r="D172" cm="1">
        <f t="array" ref="D172">_xll.BDH("SPX Index",D$1,$A172,$A172)</f>
        <v>79.903000000000006</v>
      </c>
      <c r="E172" cm="1">
        <f t="array" ref="E172">_xll.BDH("SPX Index",E$1,$A172,$A172)</f>
        <v>18.2117</v>
      </c>
      <c r="F172" cm="1">
        <f t="array" ref="F172">_xll.BDH("SPX Index",F$1,$A172,$A172)</f>
        <v>36.577300000000001</v>
      </c>
      <c r="G172" cm="1">
        <f t="array" ref="G172">_xll.BDH(_xlfn.CONCAT(G$1," INDEX"),"PX_LAST",$A172,$A172)</f>
        <v>3.9293</v>
      </c>
      <c r="H172" cm="1">
        <f t="array" ref="H172">_xll.BDH(_xlfn.CONCAT(H$1," INDEX"),"PX_LAST",$A172,$A172)</f>
        <v>21.41</v>
      </c>
    </row>
    <row r="173" spans="1:8" x14ac:dyDescent="0.25">
      <c r="A173" s="1">
        <v>45555</v>
      </c>
      <c r="B173">
        <v>5702.55</v>
      </c>
      <c r="C173" cm="1">
        <f t="array" ref="C173">_xll.BDH("SPX Index",C$1,$A173,$A173)</f>
        <v>76.697900000000004</v>
      </c>
      <c r="D173" cm="1">
        <f t="array" ref="D173">_xll.BDH("SPX Index",D$1,$A173,$A173)</f>
        <v>80.183899999999994</v>
      </c>
      <c r="E173" cm="1">
        <f t="array" ref="E173">_xll.BDH("SPX Index",E$1,$A173,$A173)</f>
        <v>18.144300000000001</v>
      </c>
      <c r="F173" cm="1">
        <f t="array" ref="F173">_xll.BDH("SPX Index",F$1,$A173,$A173)</f>
        <v>36.577300000000001</v>
      </c>
      <c r="G173" cm="1">
        <f t="array" ref="G173">_xll.BDH(_xlfn.CONCAT(G$1," INDEX"),"PX_LAST",$A173,$A173)</f>
        <v>3.9348999999999998</v>
      </c>
      <c r="H173" cm="1">
        <f t="array" ref="H173">_xll.BDH(_xlfn.CONCAT(H$1," INDEX"),"PX_LAST",$A173,$A173)</f>
        <v>21.47</v>
      </c>
    </row>
    <row r="174" spans="1:8" x14ac:dyDescent="0.25">
      <c r="A174" s="1">
        <v>45554</v>
      </c>
      <c r="B174">
        <v>5713.64</v>
      </c>
      <c r="C174" cm="1">
        <f t="array" ref="C174">_xll.BDH("SPX Index",C$1,$A174,$A174)</f>
        <v>76.718699999999998</v>
      </c>
      <c r="D174" cm="1">
        <f t="array" ref="D174">_xll.BDH("SPX Index",D$1,$A174,$A174)</f>
        <v>80.202100000000002</v>
      </c>
      <c r="E174" cm="1">
        <f t="array" ref="E174">_xll.BDH("SPX Index",E$1,$A174,$A174)</f>
        <v>18.142700000000001</v>
      </c>
      <c r="F174" cm="1">
        <f t="array" ref="F174">_xll.BDH("SPX Index",F$1,$A174,$A174)</f>
        <v>36.578499999999998</v>
      </c>
      <c r="G174" cm="1">
        <f t="array" ref="G174">_xll.BDH(_xlfn.CONCAT(G$1," INDEX"),"PX_LAST",$A174,$A174)</f>
        <v>3.9411999999999998</v>
      </c>
      <c r="H174" cm="1">
        <f t="array" ref="H174">_xll.BDH(_xlfn.CONCAT(H$1," INDEX"),"PX_LAST",$A174,$A174)</f>
        <v>21.52</v>
      </c>
    </row>
    <row r="175" spans="1:8" x14ac:dyDescent="0.25">
      <c r="A175" s="1">
        <v>45553</v>
      </c>
      <c r="B175">
        <v>5618.26</v>
      </c>
      <c r="C175" cm="1">
        <f t="array" ref="C175">_xll.BDH("SPX Index",C$1,$A175,$A175)</f>
        <v>76.695599999999999</v>
      </c>
      <c r="D175" cm="1">
        <f t="array" ref="D175">_xll.BDH("SPX Index",D$1,$A175,$A175)</f>
        <v>80.194400000000002</v>
      </c>
      <c r="E175" cm="1">
        <f t="array" ref="E175">_xll.BDH("SPX Index",E$1,$A175,$A175)</f>
        <v>18.148499999999999</v>
      </c>
      <c r="F175" cm="1">
        <f t="array" ref="F175">_xll.BDH("SPX Index",F$1,$A175,$A175)</f>
        <v>36.578499999999998</v>
      </c>
      <c r="G175" t="str" cm="1">
        <f t="array" ref="G175">_xll.BDH(_xlfn.CONCAT(G$1," INDEX"),"PX_LAST",$A175,$A175)</f>
        <v>#N/A Requesting Data...</v>
      </c>
      <c r="H175" cm="1">
        <f t="array" ref="H175">_xll.BDH(_xlfn.CONCAT(H$1," INDEX"),"PX_LAST",$A175,$A175)</f>
        <v>22.25</v>
      </c>
    </row>
    <row r="176" spans="1:8" x14ac:dyDescent="0.25">
      <c r="A176" s="1">
        <v>45552</v>
      </c>
      <c r="B176">
        <v>5634.58</v>
      </c>
      <c r="C176" cm="1">
        <f t="array" ref="C176">_xll.BDH("SPX Index",C$1,$A176,$A176)</f>
        <v>76.685000000000002</v>
      </c>
      <c r="D176" cm="1">
        <f t="array" ref="D176">_xll.BDH("SPX Index",D$1,$A176,$A176)</f>
        <v>80.169600000000003</v>
      </c>
      <c r="E176" cm="1">
        <f t="array" ref="E176">_xll.BDH("SPX Index",E$1,$A176,$A176)</f>
        <v>18.1541</v>
      </c>
      <c r="F176" cm="1">
        <f t="array" ref="F176">_xll.BDH("SPX Index",F$1,$A176,$A176)</f>
        <v>36.578499999999998</v>
      </c>
      <c r="G176" cm="1">
        <f t="array" ref="G176">_xll.BDH(_xlfn.CONCAT(G$1," INDEX"),"PX_LAST",$A176,$A176)</f>
        <v>3.9982000000000002</v>
      </c>
      <c r="H176" cm="1">
        <f t="array" ref="H176">_xll.BDH(_xlfn.CONCAT(H$1," INDEX"),"PX_LAST",$A176,$A176)</f>
        <v>22.08</v>
      </c>
    </row>
    <row r="177" spans="1:8" x14ac:dyDescent="0.25">
      <c r="A177" s="1">
        <v>45551</v>
      </c>
      <c r="B177">
        <v>5633.09</v>
      </c>
      <c r="C177" cm="1">
        <f t="array" ref="C177">_xll.BDH("SPX Index",C$1,$A177,$A177)</f>
        <v>76.673400000000001</v>
      </c>
      <c r="D177" cm="1">
        <f t="array" ref="D177">_xll.BDH("SPX Index",D$1,$A177,$A177)</f>
        <v>80.117900000000006</v>
      </c>
      <c r="E177" cm="1">
        <f t="array" ref="E177">_xll.BDH("SPX Index",E$1,$A177,$A177)</f>
        <v>18.157900000000001</v>
      </c>
      <c r="F177" cm="1">
        <f t="array" ref="F177">_xll.BDH("SPX Index",F$1,$A177,$A177)</f>
        <v>36.578499999999998</v>
      </c>
      <c r="G177" cm="1">
        <f t="array" ref="G177">_xll.BDH(_xlfn.CONCAT(G$1," INDEX"),"PX_LAST",$A177,$A177)</f>
        <v>3.9609000000000001</v>
      </c>
      <c r="H177" cm="1">
        <f t="array" ref="H177">_xll.BDH(_xlfn.CONCAT(H$1," INDEX"),"PX_LAST",$A177,$A177)</f>
        <v>21.83</v>
      </c>
    </row>
    <row r="178" spans="1:8" x14ac:dyDescent="0.25">
      <c r="A178" s="1">
        <v>45548</v>
      </c>
      <c r="B178">
        <v>5626.02</v>
      </c>
      <c r="C178" cm="1">
        <f t="array" ref="C178">_xll.BDH("SPX Index",C$1,$A178,$A178)</f>
        <v>76.662999999999997</v>
      </c>
      <c r="D178" cm="1">
        <f t="array" ref="D178">_xll.BDH("SPX Index",D$1,$A178,$A178)</f>
        <v>80.125299999999996</v>
      </c>
      <c r="E178" cm="1">
        <f t="array" ref="E178">_xll.BDH("SPX Index",E$1,$A178,$A178)</f>
        <v>18.183900000000001</v>
      </c>
      <c r="F178" cm="1">
        <f t="array" ref="F178">_xll.BDH("SPX Index",F$1,$A178,$A178)</f>
        <v>36.578499999999998</v>
      </c>
      <c r="G178" cm="1">
        <f t="array" ref="G178">_xll.BDH(_xlfn.CONCAT(G$1," INDEX"),"PX_LAST",$A178,$A178)</f>
        <v>4.0095999999999998</v>
      </c>
      <c r="H178" cm="1">
        <f t="array" ref="H178">_xll.BDH(_xlfn.CONCAT(H$1," INDEX"),"PX_LAST",$A178,$A178)</f>
        <v>21.65</v>
      </c>
    </row>
    <row r="179" spans="1:8" x14ac:dyDescent="0.25">
      <c r="A179" s="1">
        <v>45547</v>
      </c>
      <c r="B179">
        <v>5595.76</v>
      </c>
      <c r="C179" cm="1">
        <f t="array" ref="C179">_xll.BDH("SPX Index",C$1,$A179,$A179)</f>
        <v>76.665000000000006</v>
      </c>
      <c r="D179" cm="1">
        <f t="array" ref="D179">_xll.BDH("SPX Index",D$1,$A179,$A179)</f>
        <v>80.125799999999998</v>
      </c>
      <c r="E179" cm="1">
        <f t="array" ref="E179">_xll.BDH("SPX Index",E$1,$A179,$A179)</f>
        <v>18.183399999999999</v>
      </c>
      <c r="F179" cm="1">
        <f t="array" ref="F179">_xll.BDH("SPX Index",F$1,$A179,$A179)</f>
        <v>36.578499999999998</v>
      </c>
      <c r="G179" cm="1">
        <f t="array" ref="G179">_xll.BDH(_xlfn.CONCAT(G$1," INDEX"),"PX_LAST",$A179,$A179)</f>
        <v>4.0777000000000001</v>
      </c>
      <c r="H179" cm="1">
        <f t="array" ref="H179">_xll.BDH(_xlfn.CONCAT(H$1," INDEX"),"PX_LAST",$A179,$A179)</f>
        <v>21.91</v>
      </c>
    </row>
    <row r="180" spans="1:8" x14ac:dyDescent="0.25">
      <c r="A180" s="1">
        <v>45546</v>
      </c>
      <c r="B180">
        <v>5554.13</v>
      </c>
      <c r="C180" cm="1">
        <f t="array" ref="C180">_xll.BDH("SPX Index",C$1,$A180,$A180)</f>
        <v>76.703000000000003</v>
      </c>
      <c r="D180" cm="1">
        <f t="array" ref="D180">_xll.BDH("SPX Index",D$1,$A180,$A180)</f>
        <v>80.17</v>
      </c>
      <c r="E180" cm="1">
        <f t="array" ref="E180">_xll.BDH("SPX Index",E$1,$A180,$A180)</f>
        <v>18.189399999999999</v>
      </c>
      <c r="F180" cm="1">
        <f t="array" ref="F180">_xll.BDH("SPX Index",F$1,$A180,$A180)</f>
        <v>36.573500000000003</v>
      </c>
      <c r="G180" cm="1">
        <f t="array" ref="G180">_xll.BDH(_xlfn.CONCAT(G$1," INDEX"),"PX_LAST",$A180,$A180)</f>
        <v>4.1184000000000003</v>
      </c>
      <c r="H180" cm="1">
        <f t="array" ref="H180">_xll.BDH(_xlfn.CONCAT(H$1," INDEX"),"PX_LAST",$A180,$A180)</f>
        <v>21.63</v>
      </c>
    </row>
    <row r="181" spans="1:8" x14ac:dyDescent="0.25">
      <c r="A181" s="1">
        <v>45545</v>
      </c>
      <c r="B181">
        <v>5495.52</v>
      </c>
      <c r="C181" cm="1">
        <f t="array" ref="C181">_xll.BDH("SPX Index",C$1,$A181,$A181)</f>
        <v>76.632400000000004</v>
      </c>
      <c r="D181" cm="1">
        <f t="array" ref="D181">_xll.BDH("SPX Index",D$1,$A181,$A181)</f>
        <v>80.097499999999997</v>
      </c>
      <c r="E181" cm="1">
        <f t="array" ref="E181">_xll.BDH("SPX Index",E$1,$A181,$A181)</f>
        <v>18.1877</v>
      </c>
      <c r="F181" cm="1">
        <f t="array" ref="F181">_xll.BDH("SPX Index",F$1,$A181,$A181)</f>
        <v>36.573500000000003</v>
      </c>
      <c r="G181" cm="1">
        <f t="array" ref="G181">_xll.BDH(_xlfn.CONCAT(G$1," INDEX"),"PX_LAST",$A181,$A181)</f>
        <v>4.0568999999999997</v>
      </c>
      <c r="H181" cm="1">
        <f t="array" ref="H181">_xll.BDH(_xlfn.CONCAT(H$1," INDEX"),"PX_LAST",$A181,$A181)</f>
        <v>22.19</v>
      </c>
    </row>
    <row r="182" spans="1:8" x14ac:dyDescent="0.25">
      <c r="A182" s="1">
        <v>45544</v>
      </c>
      <c r="B182">
        <v>5471.05</v>
      </c>
      <c r="C182" cm="1">
        <f t="array" ref="C182">_xll.BDH("SPX Index",C$1,$A182,$A182)</f>
        <v>76.633799999999994</v>
      </c>
      <c r="D182" cm="1">
        <f t="array" ref="D182">_xll.BDH("SPX Index",D$1,$A182,$A182)</f>
        <v>80.087100000000007</v>
      </c>
      <c r="E182" cm="1">
        <f t="array" ref="E182">_xll.BDH("SPX Index",E$1,$A182,$A182)</f>
        <v>18.189299999999999</v>
      </c>
      <c r="F182" cm="1">
        <f t="array" ref="F182">_xll.BDH("SPX Index",F$1,$A182,$A182)</f>
        <v>36.573599999999999</v>
      </c>
      <c r="G182" cm="1">
        <f t="array" ref="G182">_xll.BDH(_xlfn.CONCAT(G$1," INDEX"),"PX_LAST",$A182,$A182)</f>
        <v>4.1218000000000004</v>
      </c>
      <c r="H182" cm="1">
        <f t="array" ref="H182">_xll.BDH(_xlfn.CONCAT(H$1," INDEX"),"PX_LAST",$A182,$A182)</f>
        <v>22.27</v>
      </c>
    </row>
    <row r="183" spans="1:8" x14ac:dyDescent="0.25">
      <c r="A183" s="1">
        <v>45541</v>
      </c>
      <c r="B183">
        <v>5408.42</v>
      </c>
      <c r="C183" cm="1">
        <f t="array" ref="C183">_xll.BDH("SPX Index",C$1,$A183,$A183)</f>
        <v>76.659000000000006</v>
      </c>
      <c r="D183" cm="1">
        <f t="array" ref="D183">_xll.BDH("SPX Index",D$1,$A183,$A183)</f>
        <v>80.107699999999994</v>
      </c>
      <c r="E183" cm="1">
        <f t="array" ref="E183">_xll.BDH("SPX Index",E$1,$A183,$A183)</f>
        <v>18.1815</v>
      </c>
      <c r="F183" cm="1">
        <f t="array" ref="F183">_xll.BDH("SPX Index",F$1,$A183,$A183)</f>
        <v>36.573599999999999</v>
      </c>
      <c r="G183" cm="1">
        <f t="array" ref="G183">_xll.BDH(_xlfn.CONCAT(G$1," INDEX"),"PX_LAST",$A183,$A183)</f>
        <v>4.0926</v>
      </c>
      <c r="H183" cm="1">
        <f t="array" ref="H183">_xll.BDH(_xlfn.CONCAT(H$1," INDEX"),"PX_LAST",$A183,$A183)</f>
        <v>23.38</v>
      </c>
    </row>
    <row r="184" spans="1:8" x14ac:dyDescent="0.25">
      <c r="A184" s="1">
        <v>45540</v>
      </c>
      <c r="B184">
        <v>5503.41</v>
      </c>
      <c r="C184" cm="1">
        <f t="array" ref="C184">_xll.BDH("SPX Index",C$1,$A184,$A184)</f>
        <v>76.634500000000003</v>
      </c>
      <c r="D184" cm="1">
        <f t="array" ref="D184">_xll.BDH("SPX Index",D$1,$A184,$A184)</f>
        <v>80.105999999999995</v>
      </c>
      <c r="E184" cm="1">
        <f t="array" ref="E184">_xll.BDH("SPX Index",E$1,$A184,$A184)</f>
        <v>18.1829</v>
      </c>
      <c r="F184" cm="1">
        <f t="array" ref="F184">_xll.BDH("SPX Index",F$1,$A184,$A184)</f>
        <v>36.573599999999999</v>
      </c>
      <c r="G184" cm="1">
        <f t="array" ref="G184">_xll.BDH(_xlfn.CONCAT(G$1," INDEX"),"PX_LAST",$A184,$A184)</f>
        <v>4.1959999999999997</v>
      </c>
      <c r="H184" cm="1">
        <f t="array" ref="H184">_xll.BDH(_xlfn.CONCAT(H$1," INDEX"),"PX_LAST",$A184,$A184)</f>
        <v>22.43</v>
      </c>
    </row>
    <row r="185" spans="1:8" x14ac:dyDescent="0.25">
      <c r="A185" s="1">
        <v>45539</v>
      </c>
      <c r="B185">
        <v>5520.07</v>
      </c>
      <c r="C185" cm="1">
        <f t="array" ref="C185">_xll.BDH("SPX Index",C$1,$A185,$A185)</f>
        <v>76.687100000000001</v>
      </c>
      <c r="D185" cm="1">
        <f t="array" ref="D185">_xll.BDH("SPX Index",D$1,$A185,$A185)</f>
        <v>80.116500000000002</v>
      </c>
      <c r="E185" cm="1">
        <f t="array" ref="E185">_xll.BDH("SPX Index",E$1,$A185,$A185)</f>
        <v>18.242799999999999</v>
      </c>
      <c r="F185" cm="1">
        <f t="array" ref="F185">_xll.BDH("SPX Index",F$1,$A185,$A185)</f>
        <v>36.493099999999998</v>
      </c>
      <c r="G185" cm="1">
        <f t="array" ref="G185">_xll.BDH(_xlfn.CONCAT(G$1," INDEX"),"PX_LAST",$A185,$A185)</f>
        <v>4.2125000000000004</v>
      </c>
      <c r="H185" cm="1">
        <f t="array" ref="H185">_xll.BDH(_xlfn.CONCAT(H$1," INDEX"),"PX_LAST",$A185,$A185)</f>
        <v>22.76</v>
      </c>
    </row>
    <row r="186" spans="1:8" x14ac:dyDescent="0.25">
      <c r="A186" s="1">
        <v>45538</v>
      </c>
      <c r="B186">
        <v>5528.93</v>
      </c>
      <c r="C186" cm="1">
        <f t="array" ref="C186">_xll.BDH("SPX Index",C$1,$A186,$A186)</f>
        <v>76.677300000000002</v>
      </c>
      <c r="D186" cm="1">
        <f t="array" ref="D186">_xll.BDH("SPX Index",D$1,$A186,$A186)</f>
        <v>80.113600000000005</v>
      </c>
      <c r="E186" cm="1">
        <f t="array" ref="E186">_xll.BDH("SPX Index",E$1,$A186,$A186)</f>
        <v>18.247900000000001</v>
      </c>
      <c r="F186" cm="1">
        <f t="array" ref="F186">_xll.BDH("SPX Index",F$1,$A186,$A186)</f>
        <v>36.528100000000002</v>
      </c>
      <c r="G186" cm="1">
        <f t="array" ref="G186">_xll.BDH(_xlfn.CONCAT(G$1," INDEX"),"PX_LAST",$A186,$A186)</f>
        <v>4.3642000000000003</v>
      </c>
      <c r="H186" cm="1">
        <f t="array" ref="H186">_xll.BDH(_xlfn.CONCAT(H$1," INDEX"),"PX_LAST",$A186,$A186)</f>
        <v>22.01</v>
      </c>
    </row>
    <row r="187" spans="1:8" x14ac:dyDescent="0.25">
      <c r="A187" s="1">
        <v>45534</v>
      </c>
      <c r="B187">
        <v>5648.4</v>
      </c>
      <c r="C187" cm="1">
        <f t="array" ref="C187">_xll.BDH("SPX Index",C$1,$A187,$A187)</f>
        <v>76.652299999999997</v>
      </c>
      <c r="D187" cm="1">
        <f t="array" ref="D187">_xll.BDH("SPX Index",D$1,$A187,$A187)</f>
        <v>80.130499999999998</v>
      </c>
      <c r="E187" cm="1">
        <f t="array" ref="E187">_xll.BDH("SPX Index",E$1,$A187,$A187)</f>
        <v>18.265999999999998</v>
      </c>
      <c r="F187" cm="1">
        <f t="array" ref="F187">_xll.BDH("SPX Index",F$1,$A187,$A187)</f>
        <v>36.527799999999999</v>
      </c>
      <c r="G187" cm="1">
        <f t="array" ref="G187">_xll.BDH(_xlfn.CONCAT(G$1," INDEX"),"PX_LAST",$A187,$A187)</f>
        <v>4.4023000000000003</v>
      </c>
      <c r="H187" cm="1">
        <f t="array" ref="H187">_xll.BDH(_xlfn.CONCAT(H$1," INDEX"),"PX_LAST",$A187,$A187)</f>
        <v>20.29</v>
      </c>
    </row>
    <row r="188" spans="1:8" x14ac:dyDescent="0.25">
      <c r="A188" s="1">
        <v>45533</v>
      </c>
      <c r="B188">
        <v>5591.96</v>
      </c>
      <c r="C188" cm="1">
        <f t="array" ref="C188">_xll.BDH("SPX Index",C$1,$A188,$A188)</f>
        <v>76.647599999999997</v>
      </c>
      <c r="D188" cm="1">
        <f t="array" ref="D188">_xll.BDH("SPX Index",D$1,$A188,$A188)</f>
        <v>80.130099999999999</v>
      </c>
      <c r="E188" cm="1">
        <f t="array" ref="E188">_xll.BDH("SPX Index",E$1,$A188,$A188)</f>
        <v>18.264099999999999</v>
      </c>
      <c r="F188" cm="1">
        <f t="array" ref="F188">_xll.BDH("SPX Index",F$1,$A188,$A188)</f>
        <v>36.528100000000002</v>
      </c>
      <c r="G188" cm="1">
        <f t="array" ref="G188">_xll.BDH(_xlfn.CONCAT(G$1," INDEX"),"PX_LAST",$A188,$A188)</f>
        <v>4.4119000000000002</v>
      </c>
      <c r="H188" cm="1">
        <f t="array" ref="H188">_xll.BDH(_xlfn.CONCAT(H$1," INDEX"),"PX_LAST",$A188,$A188)</f>
        <v>20.18</v>
      </c>
    </row>
    <row r="189" spans="1:8" x14ac:dyDescent="0.25">
      <c r="A189" s="1">
        <v>45532</v>
      </c>
      <c r="B189">
        <v>5592.18</v>
      </c>
      <c r="C189" cm="1">
        <f t="array" ref="C189">_xll.BDH("SPX Index",C$1,$A189,$A189)</f>
        <v>76.685100000000006</v>
      </c>
      <c r="D189" cm="1">
        <f t="array" ref="D189">_xll.BDH("SPX Index",D$1,$A189,$A189)</f>
        <v>80.170199999999994</v>
      </c>
      <c r="E189" cm="1">
        <f t="array" ref="E189">_xll.BDH("SPX Index",E$1,$A189,$A189)</f>
        <v>18.273399999999999</v>
      </c>
      <c r="F189" cm="1">
        <f t="array" ref="F189">_xll.BDH("SPX Index",F$1,$A189,$A189)</f>
        <v>36.533000000000001</v>
      </c>
      <c r="G189" cm="1">
        <f t="array" ref="G189">_xll.BDH(_xlfn.CONCAT(G$1," INDEX"),"PX_LAST",$A189,$A189)</f>
        <v>4.3933999999999997</v>
      </c>
      <c r="H189" cm="1">
        <f t="array" ref="H189">_xll.BDH(_xlfn.CONCAT(H$1," INDEX"),"PX_LAST",$A189,$A189)</f>
        <v>20.81</v>
      </c>
    </row>
    <row r="190" spans="1:8" x14ac:dyDescent="0.25">
      <c r="A190" s="1">
        <v>45531</v>
      </c>
      <c r="B190">
        <v>5625.8</v>
      </c>
      <c r="C190" cm="1">
        <f t="array" ref="C190">_xll.BDH("SPX Index",C$1,$A190,$A190)</f>
        <v>76.655000000000001</v>
      </c>
      <c r="D190" cm="1">
        <f t="array" ref="D190">_xll.BDH("SPX Index",D$1,$A190,$A190)</f>
        <v>80.164500000000004</v>
      </c>
      <c r="E190" cm="1">
        <f t="array" ref="E190">_xll.BDH("SPX Index",E$1,$A190,$A190)</f>
        <v>18.2409</v>
      </c>
      <c r="F190" cm="1">
        <f t="array" ref="F190">_xll.BDH("SPX Index",F$1,$A190,$A190)</f>
        <v>36.5486</v>
      </c>
      <c r="G190" cm="1">
        <f t="array" ref="G190">_xll.BDH(_xlfn.CONCAT(G$1," INDEX"),"PX_LAST",$A190,$A190)</f>
        <v>4.3803000000000001</v>
      </c>
      <c r="H190" cm="1">
        <f t="array" ref="H190">_xll.BDH(_xlfn.CONCAT(H$1," INDEX"),"PX_LAST",$A190,$A190)</f>
        <v>20.04</v>
      </c>
    </row>
    <row r="191" spans="1:8" x14ac:dyDescent="0.25">
      <c r="A191" s="1">
        <v>45530</v>
      </c>
      <c r="B191">
        <v>5616.84</v>
      </c>
      <c r="C191" cm="1">
        <f t="array" ref="C191">_xll.BDH("SPX Index",C$1,$A191,$A191)</f>
        <v>76.651700000000005</v>
      </c>
      <c r="D191" cm="1">
        <f t="array" ref="D191">_xll.BDH("SPX Index",D$1,$A191,$A191)</f>
        <v>80.169200000000004</v>
      </c>
      <c r="E191" cm="1">
        <f t="array" ref="E191">_xll.BDH("SPX Index",E$1,$A191,$A191)</f>
        <v>18.2423</v>
      </c>
      <c r="F191" cm="1">
        <f t="array" ref="F191">_xll.BDH("SPX Index",F$1,$A191,$A191)</f>
        <v>36.5486</v>
      </c>
      <c r="G191" cm="1">
        <f t="array" ref="G191">_xll.BDH(_xlfn.CONCAT(G$1," INDEX"),"PX_LAST",$A191,$A191)</f>
        <v>4.4077000000000002</v>
      </c>
      <c r="H191" cm="1">
        <f t="array" ref="H191">_xll.BDH(_xlfn.CONCAT(H$1," INDEX"),"PX_LAST",$A191,$A191)</f>
        <v>20.27</v>
      </c>
    </row>
    <row r="192" spans="1:8" x14ac:dyDescent="0.25">
      <c r="A192" s="1">
        <v>45527</v>
      </c>
      <c r="B192">
        <v>5634.61</v>
      </c>
      <c r="C192" cm="1">
        <f t="array" ref="C192">_xll.BDH("SPX Index",C$1,$A192,$A192)</f>
        <v>76.635900000000007</v>
      </c>
      <c r="D192" cm="1">
        <f t="array" ref="D192">_xll.BDH("SPX Index",D$1,$A192,$A192)</f>
        <v>80.170500000000004</v>
      </c>
      <c r="E192" cm="1">
        <f t="array" ref="E192">_xll.BDH("SPX Index",E$1,$A192,$A192)</f>
        <v>18.242699999999999</v>
      </c>
      <c r="F192" cm="1">
        <f t="array" ref="F192">_xll.BDH("SPX Index",F$1,$A192,$A192)</f>
        <v>36.5486</v>
      </c>
      <c r="G192" cm="1">
        <f t="array" ref="G192">_xll.BDH(_xlfn.CONCAT(G$1," INDEX"),"PX_LAST",$A192,$A192)</f>
        <v>4.3703000000000003</v>
      </c>
      <c r="H192" cm="1">
        <f t="array" ref="H192">_xll.BDH(_xlfn.CONCAT(H$1," INDEX"),"PX_LAST",$A192,$A192)</f>
        <v>21.24</v>
      </c>
    </row>
    <row r="193" spans="1:8" x14ac:dyDescent="0.25">
      <c r="A193" s="1">
        <v>45526</v>
      </c>
      <c r="B193">
        <v>5570.64</v>
      </c>
      <c r="C193" cm="1">
        <f t="array" ref="C193">_xll.BDH("SPX Index",C$1,$A193,$A193)</f>
        <v>76.629199999999997</v>
      </c>
      <c r="D193" cm="1">
        <f t="array" ref="D193">_xll.BDH("SPX Index",D$1,$A193,$A193)</f>
        <v>80.179199999999994</v>
      </c>
      <c r="E193" cm="1">
        <f t="array" ref="E193">_xll.BDH("SPX Index",E$1,$A193,$A193)</f>
        <v>18.253699999999998</v>
      </c>
      <c r="F193" cm="1">
        <f t="array" ref="F193">_xll.BDH("SPX Index",F$1,$A193,$A193)</f>
        <v>36.5486</v>
      </c>
      <c r="G193" cm="1">
        <f t="array" ref="G193">_xll.BDH(_xlfn.CONCAT(G$1," INDEX"),"PX_LAST",$A193,$A193)</f>
        <v>4.4577999999999998</v>
      </c>
      <c r="H193" cm="1">
        <f t="array" ref="H193">_xll.BDH(_xlfn.CONCAT(H$1," INDEX"),"PX_LAST",$A193,$A193)</f>
        <v>21.65</v>
      </c>
    </row>
    <row r="194" spans="1:8" x14ac:dyDescent="0.25">
      <c r="A194" s="1">
        <v>45525</v>
      </c>
      <c r="B194">
        <v>5620.85</v>
      </c>
      <c r="C194" cm="1">
        <f t="array" ref="C194">_xll.BDH("SPX Index",C$1,$A194,$A194)</f>
        <v>76.615099999999998</v>
      </c>
      <c r="D194" cm="1">
        <f t="array" ref="D194">_xll.BDH("SPX Index",D$1,$A194,$A194)</f>
        <v>80.176400000000001</v>
      </c>
      <c r="E194" cm="1">
        <f t="array" ref="E194">_xll.BDH("SPX Index",E$1,$A194,$A194)</f>
        <v>18.2563</v>
      </c>
      <c r="F194" cm="1">
        <f t="array" ref="F194">_xll.BDH("SPX Index",F$1,$A194,$A194)</f>
        <v>36.5486</v>
      </c>
      <c r="G194" cm="1">
        <f t="array" ref="G194">_xll.BDH(_xlfn.CONCAT(G$1," INDEX"),"PX_LAST",$A194,$A194)</f>
        <v>4.3879999999999999</v>
      </c>
      <c r="H194" cm="1">
        <f t="array" ref="H194">_xll.BDH(_xlfn.CONCAT(H$1," INDEX"),"PX_LAST",$A194,$A194)</f>
        <v>21.44</v>
      </c>
    </row>
    <row r="195" spans="1:8" x14ac:dyDescent="0.25">
      <c r="A195" s="1">
        <v>45524</v>
      </c>
      <c r="B195">
        <v>5597.12</v>
      </c>
      <c r="C195" cm="1">
        <f t="array" ref="C195">_xll.BDH("SPX Index",C$1,$A195,$A195)</f>
        <v>76.598200000000006</v>
      </c>
      <c r="D195" cm="1">
        <f t="array" ref="D195">_xll.BDH("SPX Index",D$1,$A195,$A195)</f>
        <v>80.183800000000005</v>
      </c>
      <c r="E195" cm="1">
        <f t="array" ref="E195">_xll.BDH("SPX Index",E$1,$A195,$A195)</f>
        <v>18.274699999999999</v>
      </c>
      <c r="F195" cm="1">
        <f t="array" ref="F195">_xll.BDH("SPX Index",F$1,$A195,$A195)</f>
        <v>36.5486</v>
      </c>
      <c r="G195" cm="1">
        <f t="array" ref="G195">_xll.BDH(_xlfn.CONCAT(G$1," INDEX"),"PX_LAST",$A195,$A195)</f>
        <v>4.4261999999999997</v>
      </c>
      <c r="H195" cm="1">
        <f t="array" ref="H195">_xll.BDH(_xlfn.CONCAT(H$1," INDEX"),"PX_LAST",$A195,$A195)</f>
        <v>20.66</v>
      </c>
    </row>
    <row r="196" spans="1:8" x14ac:dyDescent="0.25">
      <c r="A196" s="1">
        <v>45523</v>
      </c>
      <c r="B196">
        <v>5608.25</v>
      </c>
      <c r="C196" cm="1">
        <f t="array" ref="C196">_xll.BDH("SPX Index",C$1,$A196,$A196)</f>
        <v>76.622600000000006</v>
      </c>
      <c r="D196" cm="1">
        <f t="array" ref="D196">_xll.BDH("SPX Index",D$1,$A196,$A196)</f>
        <v>80.204999999999998</v>
      </c>
      <c r="E196" cm="1">
        <f t="array" ref="E196">_xll.BDH("SPX Index",E$1,$A196,$A196)</f>
        <v>18.274899999999999</v>
      </c>
      <c r="F196" cm="1">
        <f t="array" ref="F196">_xll.BDH("SPX Index",F$1,$A196,$A196)</f>
        <v>36.5486</v>
      </c>
      <c r="G196" cm="1">
        <f t="array" ref="G196">_xll.BDH(_xlfn.CONCAT(G$1," INDEX"),"PX_LAST",$A196,$A196)</f>
        <v>4.4969000000000001</v>
      </c>
      <c r="H196" cm="1">
        <f t="array" ref="H196">_xll.BDH(_xlfn.CONCAT(H$1," INDEX"),"PX_LAST",$A196,$A196)</f>
        <v>20.04</v>
      </c>
    </row>
    <row r="197" spans="1:8" x14ac:dyDescent="0.25">
      <c r="A197" s="1">
        <v>45520</v>
      </c>
      <c r="B197">
        <v>5554.25</v>
      </c>
      <c r="C197" cm="1">
        <f t="array" ref="C197">_xll.BDH("SPX Index",C$1,$A197,$A197)</f>
        <v>76.608099999999993</v>
      </c>
      <c r="D197" cm="1">
        <f t="array" ref="D197">_xll.BDH("SPX Index",D$1,$A197,$A197)</f>
        <v>80.215400000000002</v>
      </c>
      <c r="E197" cm="1">
        <f t="array" ref="E197">_xll.BDH("SPX Index",E$1,$A197,$A197)</f>
        <v>18.291799999999999</v>
      </c>
      <c r="F197" cm="1">
        <f t="array" ref="F197">_xll.BDH("SPX Index",F$1,$A197,$A197)</f>
        <v>36.5486</v>
      </c>
      <c r="G197" cm="1">
        <f t="array" ref="G197">_xll.BDH(_xlfn.CONCAT(G$1," INDEX"),"PX_LAST",$A197,$A197)</f>
        <v>4.4756</v>
      </c>
      <c r="H197" cm="1">
        <f t="array" ref="H197">_xll.BDH(_xlfn.CONCAT(H$1," INDEX"),"PX_LAST",$A197,$A197)</f>
        <v>20.079999999999998</v>
      </c>
    </row>
    <row r="198" spans="1:8" x14ac:dyDescent="0.25">
      <c r="A198" s="1">
        <v>45519</v>
      </c>
      <c r="B198">
        <v>5543.22</v>
      </c>
      <c r="C198" cm="1">
        <f t="array" ref="C198">_xll.BDH("SPX Index",C$1,$A198,$A198)</f>
        <v>76.614800000000002</v>
      </c>
      <c r="D198" cm="1">
        <f t="array" ref="D198">_xll.BDH("SPX Index",D$1,$A198,$A198)</f>
        <v>80.259900000000002</v>
      </c>
      <c r="E198" cm="1">
        <f t="array" ref="E198">_xll.BDH("SPX Index",E$1,$A198,$A198)</f>
        <v>18.2942</v>
      </c>
      <c r="F198" cm="1">
        <f t="array" ref="F198">_xll.BDH("SPX Index",F$1,$A198,$A198)</f>
        <v>36.5486</v>
      </c>
      <c r="G198" cm="1">
        <f t="array" ref="G198">_xll.BDH(_xlfn.CONCAT(G$1," INDEX"),"PX_LAST",$A198,$A198)</f>
        <v>4.5309999999999997</v>
      </c>
      <c r="H198" cm="1">
        <f t="array" ref="H198">_xll.BDH(_xlfn.CONCAT(H$1," INDEX"),"PX_LAST",$A198,$A198)</f>
        <v>19.989999999999998</v>
      </c>
    </row>
    <row r="199" spans="1:8" x14ac:dyDescent="0.25">
      <c r="A199" s="1">
        <v>45518</v>
      </c>
      <c r="B199">
        <v>5455.21</v>
      </c>
      <c r="C199" cm="1">
        <f t="array" ref="C199">_xll.BDH("SPX Index",C$1,$A199,$A199)</f>
        <v>76.611099999999993</v>
      </c>
      <c r="D199" cm="1">
        <f t="array" ref="D199">_xll.BDH("SPX Index",D$1,$A199,$A199)</f>
        <v>80.245900000000006</v>
      </c>
      <c r="E199" cm="1">
        <f t="array" ref="E199">_xll.BDH("SPX Index",E$1,$A199,$A199)</f>
        <v>18.313300000000002</v>
      </c>
      <c r="F199" cm="1">
        <f t="array" ref="F199">_xll.BDH("SPX Index",F$1,$A199,$A199)</f>
        <v>36.5486</v>
      </c>
      <c r="G199" cm="1">
        <f t="array" ref="G199">_xll.BDH(_xlfn.CONCAT(G$1," INDEX"),"PX_LAST",$A199,$A199)</f>
        <v>4.4231999999999996</v>
      </c>
      <c r="H199" cm="1">
        <f t="array" ref="H199">_xll.BDH(_xlfn.CONCAT(H$1," INDEX"),"PX_LAST",$A199,$A199)</f>
        <v>20.72</v>
      </c>
    </row>
    <row r="200" spans="1:8" x14ac:dyDescent="0.25">
      <c r="A200" s="1">
        <v>45517</v>
      </c>
      <c r="B200">
        <v>5434.43</v>
      </c>
      <c r="C200" cm="1">
        <f t="array" ref="C200">_xll.BDH("SPX Index",C$1,$A200,$A200)</f>
        <v>76.611900000000006</v>
      </c>
      <c r="D200" cm="1">
        <f t="array" ref="D200">_xll.BDH("SPX Index",D$1,$A200,$A200)</f>
        <v>80.276300000000006</v>
      </c>
      <c r="E200" cm="1">
        <f t="array" ref="E200">_xll.BDH("SPX Index",E$1,$A200,$A200)</f>
        <v>18.395199999999999</v>
      </c>
      <c r="F200" cm="1">
        <f t="array" ref="F200">_xll.BDH("SPX Index",F$1,$A200,$A200)</f>
        <v>36.549999999999997</v>
      </c>
      <c r="G200" cm="1">
        <f t="array" ref="G200">_xll.BDH(_xlfn.CONCAT(G$1," INDEX"),"PX_LAST",$A200,$A200)</f>
        <v>4.3939000000000004</v>
      </c>
      <c r="H200" cm="1">
        <f t="array" ref="H200">_xll.BDH(_xlfn.CONCAT(H$1," INDEX"),"PX_LAST",$A200,$A200)</f>
        <v>21.06</v>
      </c>
    </row>
    <row r="201" spans="1:8" x14ac:dyDescent="0.25">
      <c r="A201" s="1">
        <v>45516</v>
      </c>
      <c r="B201">
        <v>5344.39</v>
      </c>
      <c r="C201" cm="1">
        <f t="array" ref="C201">_xll.BDH("SPX Index",C$1,$A201,$A201)</f>
        <v>76.626800000000003</v>
      </c>
      <c r="D201" cm="1">
        <f t="array" ref="D201">_xll.BDH("SPX Index",D$1,$A201,$A201)</f>
        <v>80.345299999999995</v>
      </c>
      <c r="E201" cm="1">
        <f t="array" ref="E201">_xll.BDH("SPX Index",E$1,$A201,$A201)</f>
        <v>18.4223</v>
      </c>
      <c r="F201" cm="1">
        <f t="array" ref="F201">_xll.BDH("SPX Index",F$1,$A201,$A201)</f>
        <v>36.549999999999997</v>
      </c>
      <c r="G201" cm="1">
        <f t="array" ref="G201">_xll.BDH(_xlfn.CONCAT(G$1," INDEX"),"PX_LAST",$A201,$A201)</f>
        <v>4.4726999999999997</v>
      </c>
      <c r="H201" cm="1">
        <f t="array" ref="H201">_xll.BDH(_xlfn.CONCAT(H$1," INDEX"),"PX_LAST",$A201,$A201)</f>
        <v>21.91</v>
      </c>
    </row>
    <row r="202" spans="1:8" x14ac:dyDescent="0.25">
      <c r="A202" s="1">
        <v>45513</v>
      </c>
      <c r="B202">
        <v>5344.16</v>
      </c>
      <c r="C202" cm="1">
        <f t="array" ref="C202">_xll.BDH("SPX Index",C$1,$A202,$A202)</f>
        <v>76.667100000000005</v>
      </c>
      <c r="D202" cm="1">
        <f t="array" ref="D202">_xll.BDH("SPX Index",D$1,$A202,$A202)</f>
        <v>80.403599999999997</v>
      </c>
      <c r="E202" cm="1">
        <f t="array" ref="E202">_xll.BDH("SPX Index",E$1,$A202,$A202)</f>
        <v>18.439699999999998</v>
      </c>
      <c r="F202" cm="1">
        <f t="array" ref="F202">_xll.BDH("SPX Index",F$1,$A202,$A202)</f>
        <v>36.549999999999997</v>
      </c>
      <c r="G202" cm="1">
        <f t="array" ref="G202">_xll.BDH(_xlfn.CONCAT(G$1," INDEX"),"PX_LAST",$A202,$A202)</f>
        <v>4.4812000000000003</v>
      </c>
      <c r="H202" cm="1">
        <f t="array" ref="H202">_xll.BDH(_xlfn.CONCAT(H$1," INDEX"),"PX_LAST",$A202,$A202)</f>
        <v>21.86</v>
      </c>
    </row>
    <row r="203" spans="1:8" x14ac:dyDescent="0.25">
      <c r="A203" s="1">
        <v>45512</v>
      </c>
      <c r="B203">
        <v>5319.31</v>
      </c>
      <c r="C203" cm="1">
        <f t="array" ref="C203">_xll.BDH("SPX Index",C$1,$A203,$A203)</f>
        <v>76.671000000000006</v>
      </c>
      <c r="D203" cm="1">
        <f t="array" ref="D203">_xll.BDH("SPX Index",D$1,$A203,$A203)</f>
        <v>80.386300000000006</v>
      </c>
      <c r="E203" cm="1">
        <f t="array" ref="E203">_xll.BDH("SPX Index",E$1,$A203,$A203)</f>
        <v>18.452200000000001</v>
      </c>
      <c r="F203" cm="1">
        <f t="array" ref="F203">_xll.BDH("SPX Index",F$1,$A203,$A203)</f>
        <v>36.549999999999997</v>
      </c>
      <c r="G203" cm="1">
        <f t="array" ref="G203">_xll.BDH(_xlfn.CONCAT(G$1," INDEX"),"PX_LAST",$A203,$A203)</f>
        <v>4.4688999999999997</v>
      </c>
      <c r="H203" cm="1">
        <f t="array" ref="H203">_xll.BDH(_xlfn.CONCAT(H$1," INDEX"),"PX_LAST",$A203,$A203)</f>
        <v>23.3</v>
      </c>
    </row>
    <row r="204" spans="1:8" x14ac:dyDescent="0.25">
      <c r="A204" s="1">
        <v>45511</v>
      </c>
      <c r="B204">
        <v>5199.5</v>
      </c>
      <c r="C204" cm="1">
        <f t="array" ref="C204">_xll.BDH("SPX Index",C$1,$A204,$A204)</f>
        <v>76.691400000000002</v>
      </c>
      <c r="D204" cm="1">
        <f t="array" ref="D204">_xll.BDH("SPX Index",D$1,$A204,$A204)</f>
        <v>80.292900000000003</v>
      </c>
      <c r="E204" cm="1">
        <f t="array" ref="E204">_xll.BDH("SPX Index",E$1,$A204,$A204)</f>
        <v>18.482900000000001</v>
      </c>
      <c r="F204" cm="1">
        <f t="array" ref="F204">_xll.BDH("SPX Index",F$1,$A204,$A204)</f>
        <v>36.549999999999997</v>
      </c>
      <c r="G204" cm="1">
        <f t="array" ref="G204">_xll.BDH(_xlfn.CONCAT(G$1," INDEX"),"PX_LAST",$A204,$A204)</f>
        <v>4.4206000000000003</v>
      </c>
      <c r="H204" cm="1">
        <f t="array" ref="H204">_xll.BDH(_xlfn.CONCAT(H$1," INDEX"),"PX_LAST",$A204,$A204)</f>
        <v>24.09</v>
      </c>
    </row>
    <row r="205" spans="1:8" x14ac:dyDescent="0.25">
      <c r="A205" s="1">
        <v>45510</v>
      </c>
      <c r="B205">
        <v>5240.03</v>
      </c>
      <c r="C205" cm="1">
        <f t="array" ref="C205">_xll.BDH("SPX Index",C$1,$A205,$A205)</f>
        <v>76.693700000000007</v>
      </c>
      <c r="D205" cm="1">
        <f t="array" ref="D205">_xll.BDH("SPX Index",D$1,$A205,$A205)</f>
        <v>80.256900000000002</v>
      </c>
      <c r="E205" cm="1">
        <f t="array" ref="E205">_xll.BDH("SPX Index",E$1,$A205,$A205)</f>
        <v>18.4953</v>
      </c>
      <c r="F205" cm="1">
        <f t="array" ref="F205">_xll.BDH("SPX Index",F$1,$A205,$A205)</f>
        <v>36.549999999999997</v>
      </c>
      <c r="G205" cm="1">
        <f t="array" ref="G205">_xll.BDH(_xlfn.CONCAT(G$1," INDEX"),"PX_LAST",$A205,$A205)</f>
        <v>4.4962</v>
      </c>
      <c r="H205" cm="1">
        <f t="array" ref="H205">_xll.BDH(_xlfn.CONCAT(H$1," INDEX"),"PX_LAST",$A205,$A205)</f>
        <v>23.96</v>
      </c>
    </row>
    <row r="206" spans="1:8" x14ac:dyDescent="0.25">
      <c r="A206" s="1">
        <v>45509</v>
      </c>
      <c r="B206">
        <v>5186.33</v>
      </c>
      <c r="C206" cm="1">
        <f t="array" ref="C206">_xll.BDH("SPX Index",C$1,$A206,$A206)</f>
        <v>76.693299999999994</v>
      </c>
      <c r="D206" cm="1">
        <f t="array" ref="D206">_xll.BDH("SPX Index",D$1,$A206,$A206)</f>
        <v>80.253600000000006</v>
      </c>
      <c r="E206" cm="1">
        <f t="array" ref="E206">_xll.BDH("SPX Index",E$1,$A206,$A206)</f>
        <v>18.472200000000001</v>
      </c>
      <c r="F206" cm="1">
        <f t="array" ref="F206">_xll.BDH("SPX Index",F$1,$A206,$A206)</f>
        <v>36.549999999999997</v>
      </c>
      <c r="G206" cm="1">
        <f t="array" ref="G206">_xll.BDH(_xlfn.CONCAT(G$1," INDEX"),"PX_LAST",$A206,$A206)</f>
        <v>4.3941999999999997</v>
      </c>
      <c r="H206" cm="1">
        <f t="array" ref="H206">_xll.BDH(_xlfn.CONCAT(H$1," INDEX"),"PX_LAST",$A206,$A206)</f>
        <v>26.38</v>
      </c>
    </row>
    <row r="207" spans="1:8" x14ac:dyDescent="0.25">
      <c r="A207" s="1">
        <v>45506</v>
      </c>
      <c r="B207">
        <v>5346.56</v>
      </c>
      <c r="C207" cm="1">
        <f t="array" ref="C207">_xll.BDH("SPX Index",C$1,$A207,$A207)</f>
        <v>76.691599999999994</v>
      </c>
      <c r="D207" cm="1">
        <f t="array" ref="D207">_xll.BDH("SPX Index",D$1,$A207,$A207)</f>
        <v>80.258600000000001</v>
      </c>
      <c r="E207" cm="1">
        <f t="array" ref="E207">_xll.BDH("SPX Index",E$1,$A207,$A207)</f>
        <v>18.4071</v>
      </c>
      <c r="F207" cm="1">
        <f t="array" ref="F207">_xll.BDH("SPX Index",F$1,$A207,$A207)</f>
        <v>36.549999999999997</v>
      </c>
      <c r="G207" cm="1">
        <f t="array" ref="G207">_xll.BDH(_xlfn.CONCAT(G$1," INDEX"),"PX_LAST",$A207,$A207)</f>
        <v>4.3596000000000004</v>
      </c>
      <c r="H207" cm="1">
        <f t="array" ref="H207">_xll.BDH(_xlfn.CONCAT(H$1," INDEX"),"PX_LAST",$A207,$A207)</f>
        <v>22.43</v>
      </c>
    </row>
    <row r="208" spans="1:8" x14ac:dyDescent="0.25">
      <c r="A208" s="1">
        <v>45505</v>
      </c>
      <c r="B208">
        <v>5446.68</v>
      </c>
      <c r="C208" cm="1">
        <f t="array" ref="C208">_xll.BDH("SPX Index",C$1,$A208,$A208)</f>
        <v>76.743399999999994</v>
      </c>
      <c r="D208" cm="1">
        <f t="array" ref="D208">_xll.BDH("SPX Index",D$1,$A208,$A208)</f>
        <v>80.286900000000003</v>
      </c>
      <c r="E208" cm="1">
        <f t="array" ref="E208">_xll.BDH("SPX Index",E$1,$A208,$A208)</f>
        <v>18.5139</v>
      </c>
      <c r="F208" cm="1">
        <f t="array" ref="F208">_xll.BDH("SPX Index",F$1,$A208,$A208)</f>
        <v>36.549999999999997</v>
      </c>
      <c r="G208" cm="1">
        <f t="array" ref="G208">_xll.BDH(_xlfn.CONCAT(G$1," INDEX"),"PX_LAST",$A208,$A208)</f>
        <v>4.6170999999999998</v>
      </c>
      <c r="H208" cm="1">
        <f t="array" ref="H208">_xll.BDH(_xlfn.CONCAT(H$1," INDEX"),"PX_LAST",$A208,$A208)</f>
        <v>20.43</v>
      </c>
    </row>
    <row r="209" spans="1:8" x14ac:dyDescent="0.25">
      <c r="A209" s="1">
        <v>45504</v>
      </c>
      <c r="B209">
        <v>5522.3</v>
      </c>
      <c r="C209" cm="1">
        <f t="array" ref="C209">_xll.BDH("SPX Index",C$1,$A209,$A209)</f>
        <v>77.025800000000004</v>
      </c>
      <c r="D209" cm="1">
        <f t="array" ref="D209">_xll.BDH("SPX Index",D$1,$A209,$A209)</f>
        <v>80.269900000000007</v>
      </c>
      <c r="E209" cm="1">
        <f t="array" ref="E209">_xll.BDH("SPX Index",E$1,$A209,$A209)</f>
        <v>18.499199999999998</v>
      </c>
      <c r="F209" cm="1">
        <f t="array" ref="F209">_xll.BDH("SPX Index",F$1,$A209,$A209)</f>
        <v>36.529699999999998</v>
      </c>
      <c r="G209" cm="1">
        <f t="array" ref="G209">_xll.BDH(_xlfn.CONCAT(G$1," INDEX"),"PX_LAST",$A209,$A209)</f>
        <v>4.7446999999999999</v>
      </c>
      <c r="H209" cm="1">
        <f t="array" ref="H209">_xll.BDH(_xlfn.CONCAT(H$1," INDEX"),"PX_LAST",$A209,$A209)</f>
        <v>19.25</v>
      </c>
    </row>
    <row r="210" spans="1:8" x14ac:dyDescent="0.25">
      <c r="A210" s="1">
        <v>45503</v>
      </c>
      <c r="B210">
        <v>5436.44</v>
      </c>
      <c r="C210" cm="1">
        <f t="array" ref="C210">_xll.BDH("SPX Index",C$1,$A210,$A210)</f>
        <v>77.075199999999995</v>
      </c>
      <c r="D210" cm="1">
        <f t="array" ref="D210">_xll.BDH("SPX Index",D$1,$A210,$A210)</f>
        <v>80.324100000000001</v>
      </c>
      <c r="E210" cm="1">
        <f t="array" ref="E210">_xll.BDH("SPX Index",E$1,$A210,$A210)</f>
        <v>18.482800000000001</v>
      </c>
      <c r="F210" cm="1">
        <f t="array" ref="F210">_xll.BDH("SPX Index",F$1,$A210,$A210)</f>
        <v>36.529699999999998</v>
      </c>
      <c r="G210" cm="1">
        <f t="array" ref="G210">_xll.BDH(_xlfn.CONCAT(G$1," INDEX"),"PX_LAST",$A210,$A210)</f>
        <v>4.7938999999999998</v>
      </c>
      <c r="H210" cm="1">
        <f t="array" ref="H210">_xll.BDH(_xlfn.CONCAT(H$1," INDEX"),"PX_LAST",$A210,$A210)</f>
        <v>19.93</v>
      </c>
    </row>
    <row r="211" spans="1:8" x14ac:dyDescent="0.25">
      <c r="A211" s="1">
        <v>45502</v>
      </c>
      <c r="B211">
        <v>5463.54</v>
      </c>
      <c r="C211" cm="1">
        <f t="array" ref="C211">_xll.BDH("SPX Index",C$1,$A211,$A211)</f>
        <v>77.055300000000003</v>
      </c>
      <c r="D211" cm="1">
        <f t="array" ref="D211">_xll.BDH("SPX Index",D$1,$A211,$A211)</f>
        <v>80.334500000000006</v>
      </c>
      <c r="E211" cm="1">
        <f t="array" ref="E211">_xll.BDH("SPX Index",E$1,$A211,$A211)</f>
        <v>18.4864</v>
      </c>
      <c r="F211" cm="1">
        <f t="array" ref="F211">_xll.BDH("SPX Index",F$1,$A211,$A211)</f>
        <v>36.529699999999998</v>
      </c>
      <c r="G211" cm="1">
        <f t="array" ref="G211">_xll.BDH(_xlfn.CONCAT(G$1," INDEX"),"PX_LAST",$A211,$A211)</f>
        <v>4.8186999999999998</v>
      </c>
      <c r="H211" cm="1">
        <f t="array" ref="H211">_xll.BDH(_xlfn.CONCAT(H$1," INDEX"),"PX_LAST",$A211,$A211)</f>
        <v>19.510000000000002</v>
      </c>
    </row>
    <row r="212" spans="1:8" x14ac:dyDescent="0.25">
      <c r="A212" s="1">
        <v>45499</v>
      </c>
      <c r="B212">
        <v>5459.1</v>
      </c>
      <c r="C212" cm="1">
        <f t="array" ref="C212">_xll.BDH("SPX Index",C$1,$A212,$A212)</f>
        <v>77.058700000000002</v>
      </c>
      <c r="D212" cm="1">
        <f t="array" ref="D212">_xll.BDH("SPX Index",D$1,$A212,$A212)</f>
        <v>80.372399999999999</v>
      </c>
      <c r="E212" cm="1">
        <f t="array" ref="E212">_xll.BDH("SPX Index",E$1,$A212,$A212)</f>
        <v>18.475200000000001</v>
      </c>
      <c r="F212" cm="1">
        <f t="array" ref="F212">_xll.BDH("SPX Index",F$1,$A212,$A212)</f>
        <v>36.529699999999998</v>
      </c>
      <c r="G212" cm="1">
        <f t="array" ref="G212">_xll.BDH(_xlfn.CONCAT(G$1," INDEX"),"PX_LAST",$A212,$A212)</f>
        <v>4.7975000000000003</v>
      </c>
      <c r="H212" cm="1">
        <f t="array" ref="H212">_xll.BDH(_xlfn.CONCAT(H$1," INDEX"),"PX_LAST",$A212,$A212)</f>
        <v>19.63</v>
      </c>
    </row>
    <row r="213" spans="1:8" x14ac:dyDescent="0.25">
      <c r="A213" s="1">
        <v>45498</v>
      </c>
      <c r="B213">
        <v>5399.22</v>
      </c>
      <c r="C213" cm="1">
        <f t="array" ref="C213">_xll.BDH("SPX Index",C$1,$A213,$A213)</f>
        <v>77.042699999999996</v>
      </c>
      <c r="D213" cm="1">
        <f t="array" ref="D213">_xll.BDH("SPX Index",D$1,$A213,$A213)</f>
        <v>80.328400000000002</v>
      </c>
      <c r="E213" cm="1">
        <f t="array" ref="E213">_xll.BDH("SPX Index",E$1,$A213,$A213)</f>
        <v>18.456900000000001</v>
      </c>
      <c r="F213" cm="1">
        <f t="array" ref="F213">_xll.BDH("SPX Index",F$1,$A213,$A213)</f>
        <v>36.529699999999998</v>
      </c>
      <c r="G213" cm="1">
        <f t="array" ref="G213">_xll.BDH(_xlfn.CONCAT(G$1," INDEX"),"PX_LAST",$A213,$A213)</f>
        <v>4.8369</v>
      </c>
      <c r="H213" cm="1">
        <f t="array" ref="H213">_xll.BDH(_xlfn.CONCAT(H$1," INDEX"),"PX_LAST",$A213,$A213)</f>
        <v>20.56</v>
      </c>
    </row>
    <row r="214" spans="1:8" x14ac:dyDescent="0.25">
      <c r="A214" s="1">
        <v>45497</v>
      </c>
      <c r="B214">
        <v>5427.13</v>
      </c>
      <c r="C214" cm="1">
        <f t="array" ref="C214">_xll.BDH("SPX Index",C$1,$A214,$A214)</f>
        <v>77.013800000000003</v>
      </c>
      <c r="D214" cm="1">
        <f t="array" ref="D214">_xll.BDH("SPX Index",D$1,$A214,$A214)</f>
        <v>80.265299999999996</v>
      </c>
      <c r="E214" cm="1">
        <f t="array" ref="E214">_xll.BDH("SPX Index",E$1,$A214,$A214)</f>
        <v>18.479500000000002</v>
      </c>
      <c r="F214" cm="1">
        <f t="array" ref="F214">_xll.BDH("SPX Index",F$1,$A214,$A214)</f>
        <v>36.529699999999998</v>
      </c>
      <c r="G214" cm="1">
        <f t="array" ref="G214">_xll.BDH(_xlfn.CONCAT(G$1," INDEX"),"PX_LAST",$A214,$A214)</f>
        <v>4.8400999999999996</v>
      </c>
      <c r="H214" cm="1">
        <f t="array" ref="H214">_xll.BDH(_xlfn.CONCAT(H$1," INDEX"),"PX_LAST",$A214,$A214)</f>
        <v>20.41</v>
      </c>
    </row>
    <row r="215" spans="1:8" x14ac:dyDescent="0.25">
      <c r="A215" s="1">
        <v>45496</v>
      </c>
      <c r="B215">
        <v>5555.74</v>
      </c>
      <c r="C215" cm="1">
        <f t="array" ref="C215">_xll.BDH("SPX Index",C$1,$A215,$A215)</f>
        <v>77.043300000000002</v>
      </c>
      <c r="D215" cm="1">
        <f t="array" ref="D215">_xll.BDH("SPX Index",D$1,$A215,$A215)</f>
        <v>80.2102</v>
      </c>
      <c r="E215" cm="1">
        <f t="array" ref="E215">_xll.BDH("SPX Index",E$1,$A215,$A215)</f>
        <v>18.381900000000002</v>
      </c>
      <c r="F215" cm="1">
        <f t="array" ref="F215">_xll.BDH("SPX Index",F$1,$A215,$A215)</f>
        <v>36.529699999999998</v>
      </c>
      <c r="G215" cm="1">
        <f t="array" ref="G215">_xll.BDH(_xlfn.CONCAT(G$1," INDEX"),"PX_LAST",$A215,$A215)</f>
        <v>4.8704000000000001</v>
      </c>
      <c r="H215" cm="1">
        <f t="array" ref="H215">_xll.BDH(_xlfn.CONCAT(H$1," INDEX"),"PX_LAST",$A215,$A215)</f>
        <v>19.37</v>
      </c>
    </row>
    <row r="216" spans="1:8" x14ac:dyDescent="0.25">
      <c r="A216" s="1">
        <v>45495</v>
      </c>
      <c r="B216">
        <v>5564.41</v>
      </c>
      <c r="C216" cm="1">
        <f t="array" ref="C216">_xll.BDH("SPX Index",C$1,$A216,$A216)</f>
        <v>77.055400000000006</v>
      </c>
      <c r="D216" cm="1">
        <f t="array" ref="D216">_xll.BDH("SPX Index",D$1,$A216,$A216)</f>
        <v>80.172499999999999</v>
      </c>
      <c r="E216" cm="1">
        <f t="array" ref="E216">_xll.BDH("SPX Index",E$1,$A216,$A216)</f>
        <v>18.371400000000001</v>
      </c>
      <c r="F216" cm="1">
        <f t="array" ref="F216">_xll.BDH("SPX Index",F$1,$A216,$A216)</f>
        <v>36.529699999999998</v>
      </c>
      <c r="G216" cm="1">
        <f t="array" ref="G216">_xll.BDH(_xlfn.CONCAT(G$1," INDEX"),"PX_LAST",$A216,$A216)</f>
        <v>4.8872</v>
      </c>
      <c r="H216" cm="1">
        <f t="array" ref="H216">_xll.BDH(_xlfn.CONCAT(H$1," INDEX"),"PX_LAST",$A216,$A216)</f>
        <v>19.350000000000001</v>
      </c>
    </row>
    <row r="217" spans="1:8" x14ac:dyDescent="0.25">
      <c r="A217" s="1">
        <v>45492</v>
      </c>
      <c r="B217">
        <v>5505</v>
      </c>
      <c r="C217" cm="1">
        <f t="array" ref="C217">_xll.BDH("SPX Index",C$1,$A217,$A217)</f>
        <v>76.992800000000003</v>
      </c>
      <c r="D217" cm="1">
        <f t="array" ref="D217">_xll.BDH("SPX Index",D$1,$A217,$A217)</f>
        <v>80.081500000000005</v>
      </c>
      <c r="E217" cm="1">
        <f t="array" ref="E217">_xll.BDH("SPX Index",E$1,$A217,$A217)</f>
        <v>18.400700000000001</v>
      </c>
      <c r="F217" cm="1">
        <f t="array" ref="F217">_xll.BDH("SPX Index",F$1,$A217,$A217)</f>
        <v>36.529699999999998</v>
      </c>
      <c r="G217" cm="1">
        <f t="array" ref="G217">_xll.BDH(_xlfn.CONCAT(G$1," INDEX"),"PX_LAST",$A217,$A217)</f>
        <v>4.8768000000000002</v>
      </c>
      <c r="H217" cm="1">
        <f t="array" ref="H217">_xll.BDH(_xlfn.CONCAT(H$1," INDEX"),"PX_LAST",$A217,$A217)</f>
        <v>19.829999999999998</v>
      </c>
    </row>
    <row r="218" spans="1:8" x14ac:dyDescent="0.25">
      <c r="A218" s="1">
        <v>45491</v>
      </c>
      <c r="B218">
        <v>5544.59</v>
      </c>
      <c r="C218" cm="1">
        <f t="array" ref="C218">_xll.BDH("SPX Index",C$1,$A218,$A218)</f>
        <v>77.004300000000001</v>
      </c>
      <c r="D218" cm="1">
        <f t="array" ref="D218">_xll.BDH("SPX Index",D$1,$A218,$A218)</f>
        <v>80.055999999999997</v>
      </c>
      <c r="E218" cm="1">
        <f t="array" ref="E218">_xll.BDH("SPX Index",E$1,$A218,$A218)</f>
        <v>18.389800000000001</v>
      </c>
      <c r="F218" cm="1">
        <f t="array" ref="F218">_xll.BDH("SPX Index",F$1,$A218,$A218)</f>
        <v>36.529699999999998</v>
      </c>
      <c r="G218" cm="1">
        <f t="array" ref="G218">_xll.BDH(_xlfn.CONCAT(G$1," INDEX"),"PX_LAST",$A218,$A218)</f>
        <v>4.8619000000000003</v>
      </c>
      <c r="H218" cm="1">
        <f t="array" ref="H218">_xll.BDH(_xlfn.CONCAT(H$1," INDEX"),"PX_LAST",$A218,$A218)</f>
        <v>19.55</v>
      </c>
    </row>
    <row r="219" spans="1:8" x14ac:dyDescent="0.25">
      <c r="A219" s="1">
        <v>45490</v>
      </c>
      <c r="B219">
        <v>5588.27</v>
      </c>
      <c r="C219" cm="1">
        <f t="array" ref="C219">_xll.BDH("SPX Index",C$1,$A219,$A219)</f>
        <v>77.643799999999999</v>
      </c>
      <c r="D219" cm="1">
        <f t="array" ref="D219">_xll.BDH("SPX Index",D$1,$A219,$A219)</f>
        <v>80.052499999999995</v>
      </c>
      <c r="E219" cm="1">
        <f t="array" ref="E219">_xll.BDH("SPX Index",E$1,$A219,$A219)</f>
        <v>18.4026</v>
      </c>
      <c r="F219" cm="1">
        <f t="array" ref="F219">_xll.BDH("SPX Index",F$1,$A219,$A219)</f>
        <v>36.529699999999998</v>
      </c>
      <c r="G219" cm="1">
        <f t="array" ref="G219">_xll.BDH(_xlfn.CONCAT(G$1," INDEX"),"PX_LAST",$A219,$A219)</f>
        <v>4.8460999999999999</v>
      </c>
      <c r="H219" cm="1">
        <f t="array" ref="H219">_xll.BDH(_xlfn.CONCAT(H$1," INDEX"),"PX_LAST",$A219,$A219)</f>
        <v>19.28</v>
      </c>
    </row>
    <row r="220" spans="1:8" x14ac:dyDescent="0.25">
      <c r="A220" s="1">
        <v>45489</v>
      </c>
      <c r="B220">
        <v>5667.2</v>
      </c>
      <c r="C220" cm="1">
        <f t="array" ref="C220">_xll.BDH("SPX Index",C$1,$A220,$A220)</f>
        <v>77.597300000000004</v>
      </c>
      <c r="D220" cm="1">
        <f t="array" ref="D220">_xll.BDH("SPX Index",D$1,$A220,$A220)</f>
        <v>80.045400000000001</v>
      </c>
      <c r="E220" cm="1">
        <f t="array" ref="E220">_xll.BDH("SPX Index",E$1,$A220,$A220)</f>
        <v>18.403400000000001</v>
      </c>
      <c r="F220" cm="1">
        <f t="array" ref="F220">_xll.BDH("SPX Index",F$1,$A220,$A220)</f>
        <v>36.529699999999998</v>
      </c>
      <c r="G220" cm="1">
        <f t="array" ref="G220">_xll.BDH(_xlfn.CONCAT(G$1," INDEX"),"PX_LAST",$A220,$A220)</f>
        <v>4.8330000000000002</v>
      </c>
      <c r="H220" cm="1">
        <f t="array" ref="H220">_xll.BDH(_xlfn.CONCAT(H$1," INDEX"),"PX_LAST",$A220,$A220)</f>
        <v>18.86</v>
      </c>
    </row>
    <row r="221" spans="1:8" x14ac:dyDescent="0.25">
      <c r="A221" s="1">
        <v>45488</v>
      </c>
      <c r="B221">
        <v>5631.22</v>
      </c>
      <c r="C221" cm="1">
        <f t="array" ref="C221">_xll.BDH("SPX Index",C$1,$A221,$A221)</f>
        <v>77.573400000000007</v>
      </c>
      <c r="D221" cm="1">
        <f t="array" ref="D221">_xll.BDH("SPX Index",D$1,$A221,$A221)</f>
        <v>80.033699999999996</v>
      </c>
      <c r="E221" cm="1">
        <f t="array" ref="E221">_xll.BDH("SPX Index",E$1,$A221,$A221)</f>
        <v>18.421800000000001</v>
      </c>
      <c r="F221" cm="1">
        <f t="array" ref="F221">_xll.BDH("SPX Index",F$1,$A221,$A221)</f>
        <v>36.529699999999998</v>
      </c>
      <c r="G221" cm="1">
        <f t="array" ref="G221">_xll.BDH(_xlfn.CONCAT(G$1," INDEX"),"PX_LAST",$A221,$A221)</f>
        <v>4.8361999999999998</v>
      </c>
      <c r="H221" cm="1">
        <f t="array" ref="H221">_xll.BDH(_xlfn.CONCAT(H$1," INDEX"),"PX_LAST",$A221,$A221)</f>
        <v>18.86</v>
      </c>
    </row>
    <row r="222" spans="1:8" x14ac:dyDescent="0.25">
      <c r="A222" s="1">
        <v>45485</v>
      </c>
      <c r="B222">
        <v>5615.35</v>
      </c>
      <c r="C222" cm="1">
        <f t="array" ref="C222">_xll.BDH("SPX Index",C$1,$A222,$A222)</f>
        <v>77.539199999999994</v>
      </c>
      <c r="D222" cm="1">
        <f t="array" ref="D222">_xll.BDH("SPX Index",D$1,$A222,$A222)</f>
        <v>79.991900000000001</v>
      </c>
      <c r="E222" cm="1">
        <f t="array" ref="E222">_xll.BDH("SPX Index",E$1,$A222,$A222)</f>
        <v>18.399699999999999</v>
      </c>
      <c r="F222" cm="1">
        <f t="array" ref="F222">_xll.BDH("SPX Index",F$1,$A222,$A222)</f>
        <v>36.529699999999998</v>
      </c>
      <c r="G222" cm="1">
        <f t="array" ref="G222">_xll.BDH(_xlfn.CONCAT(G$1," INDEX"),"PX_LAST",$A222,$A222)</f>
        <v>4.8529999999999998</v>
      </c>
      <c r="H222" cm="1">
        <f t="array" ref="H222">_xll.BDH(_xlfn.CONCAT(H$1," INDEX"),"PX_LAST",$A222,$A222)</f>
        <v>18.61</v>
      </c>
    </row>
    <row r="223" spans="1:8" x14ac:dyDescent="0.25">
      <c r="A223" s="1">
        <v>45484</v>
      </c>
      <c r="B223">
        <v>5584.54</v>
      </c>
      <c r="C223" cm="1">
        <f t="array" ref="C223">_xll.BDH("SPX Index",C$1,$A223,$A223)</f>
        <v>77.501000000000005</v>
      </c>
      <c r="D223" cm="1">
        <f t="array" ref="D223">_xll.BDH("SPX Index",D$1,$A223,$A223)</f>
        <v>79.956100000000006</v>
      </c>
      <c r="E223" cm="1">
        <f t="array" ref="E223">_xll.BDH("SPX Index",E$1,$A223,$A223)</f>
        <v>18.4316</v>
      </c>
      <c r="F223" cm="1">
        <f t="array" ref="F223">_xll.BDH("SPX Index",F$1,$A223,$A223)</f>
        <v>36.529699999999998</v>
      </c>
      <c r="G223" cm="1">
        <f t="array" ref="G223">_xll.BDH(_xlfn.CONCAT(G$1," INDEX"),"PX_LAST",$A223,$A223)</f>
        <v>4.8979999999999997</v>
      </c>
      <c r="H223" cm="1">
        <f t="array" ref="H223">_xll.BDH(_xlfn.CONCAT(H$1," INDEX"),"PX_LAST",$A223,$A223)</f>
        <v>18.8</v>
      </c>
    </row>
    <row r="224" spans="1:8" x14ac:dyDescent="0.25">
      <c r="A224" s="1">
        <v>45483</v>
      </c>
      <c r="B224">
        <v>5633.91</v>
      </c>
      <c r="C224" cm="1">
        <f t="array" ref="C224">_xll.BDH("SPX Index",C$1,$A224,$A224)</f>
        <v>77.445099999999996</v>
      </c>
      <c r="D224" cm="1">
        <f t="array" ref="D224">_xll.BDH("SPX Index",D$1,$A224,$A224)</f>
        <v>79.9589</v>
      </c>
      <c r="E224" cm="1">
        <f t="array" ref="E224">_xll.BDH("SPX Index",E$1,$A224,$A224)</f>
        <v>18.4619</v>
      </c>
      <c r="F224" cm="1">
        <f t="array" ref="F224">_xll.BDH("SPX Index",F$1,$A224,$A224)</f>
        <v>36.529699999999998</v>
      </c>
      <c r="G224" cm="1">
        <f t="array" ref="G224">_xll.BDH(_xlfn.CONCAT(G$1," INDEX"),"PX_LAST",$A224,$A224)</f>
        <v>4.9993999999999996</v>
      </c>
      <c r="H224" cm="1">
        <f t="array" ref="H224">_xll.BDH(_xlfn.CONCAT(H$1," INDEX"),"PX_LAST",$A224,$A224)</f>
        <v>18.5</v>
      </c>
    </row>
    <row r="225" spans="1:8" x14ac:dyDescent="0.25">
      <c r="A225" s="1">
        <v>45482</v>
      </c>
      <c r="B225">
        <v>5576.98</v>
      </c>
      <c r="C225" cm="1">
        <f t="array" ref="C225">_xll.BDH("SPX Index",C$1,$A225,$A225)</f>
        <v>77.427599999999998</v>
      </c>
      <c r="D225" cm="1">
        <f t="array" ref="D225">_xll.BDH("SPX Index",D$1,$A225,$A225)</f>
        <v>79.970100000000002</v>
      </c>
      <c r="E225" cm="1">
        <f t="array" ref="E225">_xll.BDH("SPX Index",E$1,$A225,$A225)</f>
        <v>18.4589</v>
      </c>
      <c r="F225" cm="1">
        <f t="array" ref="F225">_xll.BDH("SPX Index",F$1,$A225,$A225)</f>
        <v>36.529699999999998</v>
      </c>
      <c r="G225" cm="1">
        <f t="array" ref="G225">_xll.BDH(_xlfn.CONCAT(G$1," INDEX"),"PX_LAST",$A225,$A225)</f>
        <v>5.032</v>
      </c>
      <c r="H225" cm="1">
        <f t="array" ref="H225">_xll.BDH(_xlfn.CONCAT(H$1," INDEX"),"PX_LAST",$A225,$A225)</f>
        <v>18.48</v>
      </c>
    </row>
    <row r="226" spans="1:8" x14ac:dyDescent="0.25">
      <c r="A226" s="1">
        <v>45481</v>
      </c>
      <c r="B226">
        <v>5572.85</v>
      </c>
      <c r="C226" cm="1">
        <f t="array" ref="C226">_xll.BDH("SPX Index",C$1,$A226,$A226)</f>
        <v>77.363900000000001</v>
      </c>
      <c r="D226" cm="1">
        <f t="array" ref="D226">_xll.BDH("SPX Index",D$1,$A226,$A226)</f>
        <v>79.892399999999995</v>
      </c>
      <c r="E226" cm="1">
        <f t="array" ref="E226">_xll.BDH("SPX Index",E$1,$A226,$A226)</f>
        <v>18.5001</v>
      </c>
      <c r="F226" cm="1">
        <f t="array" ref="F226">_xll.BDH("SPX Index",F$1,$A226,$A226)</f>
        <v>36.529699999999998</v>
      </c>
      <c r="G226" cm="1">
        <f t="array" ref="G226">_xll.BDH(_xlfn.CONCAT(G$1," INDEX"),"PX_LAST",$A226,$A226)</f>
        <v>5.0080999999999998</v>
      </c>
      <c r="H226" cm="1">
        <f t="array" ref="H226">_xll.BDH(_xlfn.CONCAT(H$1," INDEX"),"PX_LAST",$A226,$A226)</f>
        <v>18.38</v>
      </c>
    </row>
    <row r="227" spans="1:8" x14ac:dyDescent="0.25">
      <c r="A227" s="1">
        <v>45478</v>
      </c>
      <c r="B227">
        <v>5567.19</v>
      </c>
      <c r="C227" cm="1">
        <f t="array" ref="C227">_xll.BDH("SPX Index",C$1,$A227,$A227)</f>
        <v>77.3767</v>
      </c>
      <c r="D227" cm="1">
        <f t="array" ref="D227">_xll.BDH("SPX Index",D$1,$A227,$A227)</f>
        <v>79.899900000000002</v>
      </c>
      <c r="E227" cm="1">
        <f t="array" ref="E227">_xll.BDH("SPX Index",E$1,$A227,$A227)</f>
        <v>18.4819</v>
      </c>
      <c r="F227" cm="1">
        <f t="array" ref="F227">_xll.BDH("SPX Index",F$1,$A227,$A227)</f>
        <v>36.529699999999998</v>
      </c>
      <c r="G227" cm="1">
        <f t="array" ref="G227">_xll.BDH(_xlfn.CONCAT(G$1," INDEX"),"PX_LAST",$A227,$A227)</f>
        <v>4.9950000000000001</v>
      </c>
      <c r="H227" cm="1">
        <f t="array" ref="H227">_xll.BDH(_xlfn.CONCAT(H$1," INDEX"),"PX_LAST",$A227,$A227)</f>
        <v>18.440000000000001</v>
      </c>
    </row>
    <row r="228" spans="1:8" x14ac:dyDescent="0.25">
      <c r="A228" s="1">
        <v>45476</v>
      </c>
      <c r="B228">
        <v>5537.02</v>
      </c>
      <c r="C228" cm="1">
        <f t="array" ref="C228">_xll.BDH("SPX Index",C$1,$A228,$A228)</f>
        <v>77.363500000000002</v>
      </c>
      <c r="D228" cm="1">
        <f t="array" ref="D228">_xll.BDH("SPX Index",D$1,$A228,$A228)</f>
        <v>79.896500000000003</v>
      </c>
      <c r="E228" cm="1">
        <f t="array" ref="E228">_xll.BDH("SPX Index",E$1,$A228,$A228)</f>
        <v>18.478100000000001</v>
      </c>
      <c r="F228" cm="1">
        <f t="array" ref="F228">_xll.BDH("SPX Index",F$1,$A228,$A228)</f>
        <v>36.529699999999998</v>
      </c>
      <c r="G228" cm="1">
        <f t="array" ref="G228">_xll.BDH(_xlfn.CONCAT(G$1," INDEX"),"PX_LAST",$A228,$A228)</f>
        <v>5.0427</v>
      </c>
      <c r="H228" cm="1">
        <f t="array" ref="H228">_xll.BDH(_xlfn.CONCAT(H$1," INDEX"),"PX_LAST",$A228,$A228)</f>
        <v>18.399999999999999</v>
      </c>
    </row>
    <row r="229" spans="1:8" x14ac:dyDescent="0.25">
      <c r="A229" s="1">
        <v>45475</v>
      </c>
      <c r="B229">
        <v>5509.01</v>
      </c>
      <c r="C229" cm="1">
        <f t="array" ref="C229">_xll.BDH("SPX Index",C$1,$A229,$A229)</f>
        <v>77.377099999999999</v>
      </c>
      <c r="D229" cm="1">
        <f t="array" ref="D229">_xll.BDH("SPX Index",D$1,$A229,$A229)</f>
        <v>79.953900000000004</v>
      </c>
      <c r="E229" cm="1">
        <f t="array" ref="E229">_xll.BDH("SPX Index",E$1,$A229,$A229)</f>
        <v>18.474900000000002</v>
      </c>
      <c r="F229" cm="1">
        <f t="array" ref="F229">_xll.BDH("SPX Index",F$1,$A229,$A229)</f>
        <v>36.529699999999998</v>
      </c>
      <c r="G229" cm="1">
        <f t="array" ref="G229">_xll.BDH(_xlfn.CONCAT(G$1," INDEX"),"PX_LAST",$A229,$A229)</f>
        <v>5.0818000000000003</v>
      </c>
      <c r="H229" cm="1">
        <f t="array" ref="H229">_xll.BDH(_xlfn.CONCAT(H$1," INDEX"),"PX_LAST",$A229,$A229)</f>
        <v>18.38</v>
      </c>
    </row>
    <row r="230" spans="1:8" x14ac:dyDescent="0.25">
      <c r="A230" s="1">
        <v>45474</v>
      </c>
      <c r="B230">
        <v>5475.09</v>
      </c>
      <c r="C230" cm="1">
        <f t="array" ref="C230">_xll.BDH("SPX Index",C$1,$A230,$A230)</f>
        <v>77.350700000000003</v>
      </c>
      <c r="D230" cm="1">
        <f t="array" ref="D230">_xll.BDH("SPX Index",D$1,$A230,$A230)</f>
        <v>79.9221</v>
      </c>
      <c r="E230" cm="1">
        <f t="array" ref="E230">_xll.BDH("SPX Index",E$1,$A230,$A230)</f>
        <v>18.470199999999998</v>
      </c>
      <c r="F230" cm="1">
        <f t="array" ref="F230">_xll.BDH("SPX Index",F$1,$A230,$A230)</f>
        <v>36.529699999999998</v>
      </c>
      <c r="G230" cm="1">
        <f t="array" ref="G230">_xll.BDH(_xlfn.CONCAT(G$1," INDEX"),"PX_LAST",$A230,$A230)</f>
        <v>5.1040999999999999</v>
      </c>
      <c r="H230" cm="1">
        <f t="array" ref="H230">_xll.BDH(_xlfn.CONCAT(H$1," INDEX"),"PX_LAST",$A230,$A230)</f>
        <v>18.48</v>
      </c>
    </row>
    <row r="231" spans="1:8" x14ac:dyDescent="0.25">
      <c r="A231" s="1">
        <v>45471</v>
      </c>
      <c r="B231">
        <v>5460.48</v>
      </c>
      <c r="C231" cm="1">
        <f t="array" ref="C231">_xll.BDH("SPX Index",C$1,$A231,$A231)</f>
        <v>77.360600000000005</v>
      </c>
      <c r="D231" cm="1">
        <f t="array" ref="D231">_xll.BDH("SPX Index",D$1,$A231,$A231)</f>
        <v>79.916799999999995</v>
      </c>
      <c r="E231" cm="1">
        <f t="array" ref="E231">_xll.BDH("SPX Index",E$1,$A231,$A231)</f>
        <v>18.476099999999999</v>
      </c>
      <c r="F231" cm="1">
        <f t="array" ref="F231">_xll.BDH("SPX Index",F$1,$A231,$A231)</f>
        <v>36.555500000000002</v>
      </c>
      <c r="G231" cm="1">
        <f t="array" ref="G231">_xll.BDH(_xlfn.CONCAT(G$1," INDEX"),"PX_LAST",$A231,$A231)</f>
        <v>5.1100000000000003</v>
      </c>
      <c r="H231" cm="1">
        <f t="array" ref="H231">_xll.BDH(_xlfn.CONCAT(H$1," INDEX"),"PX_LAST",$A231,$A231)</f>
        <v>18.73</v>
      </c>
    </row>
    <row r="232" spans="1:8" x14ac:dyDescent="0.25">
      <c r="A232" s="1">
        <v>45470</v>
      </c>
      <c r="B232">
        <v>5482.87</v>
      </c>
      <c r="C232" cm="1">
        <f t="array" ref="C232">_xll.BDH("SPX Index",C$1,$A232,$A232)</f>
        <v>77.359200000000001</v>
      </c>
      <c r="D232" cm="1">
        <f t="array" ref="D232">_xll.BDH("SPX Index",D$1,$A232,$A232)</f>
        <v>79.909800000000004</v>
      </c>
      <c r="E232" cm="1">
        <f t="array" ref="E232">_xll.BDH("SPX Index",E$1,$A232,$A232)</f>
        <v>18.476099999999999</v>
      </c>
      <c r="F232" cm="1">
        <f t="array" ref="F232">_xll.BDH("SPX Index",F$1,$A232,$A232)</f>
        <v>36.430599999999998</v>
      </c>
      <c r="G232" cm="1">
        <f t="array" ref="G232">_xll.BDH(_xlfn.CONCAT(G$1," INDEX"),"PX_LAST",$A232,$A232)</f>
        <v>5.1033999999999997</v>
      </c>
      <c r="H232" cm="1">
        <f t="array" ref="H232">_xll.BDH(_xlfn.CONCAT(H$1," INDEX"),"PX_LAST",$A232,$A232)</f>
        <v>18.66</v>
      </c>
    </row>
    <row r="233" spans="1:8" x14ac:dyDescent="0.25">
      <c r="A233" s="1">
        <v>45469</v>
      </c>
      <c r="B233">
        <v>5477.9</v>
      </c>
      <c r="C233" cm="1">
        <f t="array" ref="C233">_xll.BDH("SPX Index",C$1,$A233,$A233)</f>
        <v>77.391000000000005</v>
      </c>
      <c r="D233" cm="1">
        <f t="array" ref="D233">_xll.BDH("SPX Index",D$1,$A233,$A233)</f>
        <v>79.981800000000007</v>
      </c>
      <c r="E233" cm="1">
        <f t="array" ref="E233">_xll.BDH("SPX Index",E$1,$A233,$A233)</f>
        <v>18.486000000000001</v>
      </c>
      <c r="F233" cm="1">
        <f t="array" ref="F233">_xll.BDH("SPX Index",F$1,$A233,$A233)</f>
        <v>36.430599999999998</v>
      </c>
      <c r="G233" cm="1">
        <f t="array" ref="G233">_xll.BDH(_xlfn.CONCAT(G$1," INDEX"),"PX_LAST",$A233,$A233)</f>
        <v>5.1338999999999997</v>
      </c>
      <c r="H233" cm="1">
        <f t="array" ref="H233">_xll.BDH(_xlfn.CONCAT(H$1," INDEX"),"PX_LAST",$A233,$A233)</f>
        <v>18.89</v>
      </c>
    </row>
    <row r="234" spans="1:8" x14ac:dyDescent="0.25">
      <c r="A234" s="1">
        <v>45468</v>
      </c>
      <c r="B234">
        <v>5469.3</v>
      </c>
      <c r="C234" cm="1">
        <f t="array" ref="C234">_xll.BDH("SPX Index",C$1,$A234,$A234)</f>
        <v>77.408299999999997</v>
      </c>
      <c r="D234" cm="1">
        <f t="array" ref="D234">_xll.BDH("SPX Index",D$1,$A234,$A234)</f>
        <v>80.003399999999999</v>
      </c>
      <c r="E234" cm="1">
        <f t="array" ref="E234">_xll.BDH("SPX Index",E$1,$A234,$A234)</f>
        <v>18.490200000000002</v>
      </c>
      <c r="F234" cm="1">
        <f t="array" ref="F234">_xll.BDH("SPX Index",F$1,$A234,$A234)</f>
        <v>36.430599999999998</v>
      </c>
      <c r="G234" cm="1">
        <f t="array" ref="G234">_xll.BDH(_xlfn.CONCAT(G$1," INDEX"),"PX_LAST",$A234,$A234)</f>
        <v>5.1044999999999998</v>
      </c>
      <c r="H234" cm="1">
        <f t="array" ref="H234">_xll.BDH(_xlfn.CONCAT(H$1," INDEX"),"PX_LAST",$A234,$A234)</f>
        <v>18.899999999999999</v>
      </c>
    </row>
    <row r="235" spans="1:8" x14ac:dyDescent="0.25">
      <c r="A235" s="1">
        <v>45467</v>
      </c>
      <c r="B235">
        <v>5447.87</v>
      </c>
      <c r="C235" cm="1">
        <f t="array" ref="C235">_xll.BDH("SPX Index",C$1,$A235,$A235)</f>
        <v>77.438900000000004</v>
      </c>
      <c r="D235" cm="1">
        <f t="array" ref="D235">_xll.BDH("SPX Index",D$1,$A235,$A235)</f>
        <v>80.011799999999994</v>
      </c>
      <c r="E235" cm="1">
        <f t="array" ref="E235">_xll.BDH("SPX Index",E$1,$A235,$A235)</f>
        <v>18.481400000000001</v>
      </c>
      <c r="F235" cm="1">
        <f t="array" ref="F235">_xll.BDH("SPX Index",F$1,$A235,$A235)</f>
        <v>36.430599999999998</v>
      </c>
      <c r="G235" cm="1">
        <f t="array" ref="G235">_xll.BDH(_xlfn.CONCAT(G$1," INDEX"),"PX_LAST",$A235,$A235)</f>
        <v>5.0941000000000001</v>
      </c>
      <c r="H235" cm="1">
        <f t="array" ref="H235">_xll.BDH(_xlfn.CONCAT(H$1," INDEX"),"PX_LAST",$A235,$A235)</f>
        <v>19.25</v>
      </c>
    </row>
    <row r="236" spans="1:8" x14ac:dyDescent="0.25">
      <c r="A236" s="1">
        <v>45464</v>
      </c>
      <c r="B236">
        <v>5464.62</v>
      </c>
      <c r="C236" cm="1">
        <f t="array" ref="C236">_xll.BDH("SPX Index",C$1,$A236,$A236)</f>
        <v>77.465000000000003</v>
      </c>
      <c r="D236" cm="1">
        <f t="array" ref="D236">_xll.BDH("SPX Index",D$1,$A236,$A236)</f>
        <v>80.074200000000005</v>
      </c>
      <c r="E236" cm="1">
        <f t="array" ref="E236">_xll.BDH("SPX Index",E$1,$A236,$A236)</f>
        <v>18.4635</v>
      </c>
      <c r="F236" cm="1">
        <f t="array" ref="F236">_xll.BDH("SPX Index",F$1,$A236,$A236)</f>
        <v>36.430599999999998</v>
      </c>
      <c r="G236" cm="1">
        <f t="array" ref="G236">_xll.BDH(_xlfn.CONCAT(G$1," INDEX"),"PX_LAST",$A236,$A236)</f>
        <v>5.0945999999999998</v>
      </c>
      <c r="H236" cm="1">
        <f t="array" ref="H236">_xll.BDH(_xlfn.CONCAT(H$1," INDEX"),"PX_LAST",$A236,$A236)</f>
        <v>19.13</v>
      </c>
    </row>
    <row r="237" spans="1:8" x14ac:dyDescent="0.25">
      <c r="A237" s="1">
        <v>45463</v>
      </c>
      <c r="B237">
        <v>5473.17</v>
      </c>
      <c r="C237" cm="1">
        <f t="array" ref="C237">_xll.BDH("SPX Index",C$1,$A237,$A237)</f>
        <v>77.460599999999999</v>
      </c>
      <c r="D237" cm="1">
        <f t="array" ref="D237">_xll.BDH("SPX Index",D$1,$A237,$A237)</f>
        <v>80.060900000000004</v>
      </c>
      <c r="E237" cm="1">
        <f t="array" ref="E237">_xll.BDH("SPX Index",E$1,$A237,$A237)</f>
        <v>18.4572</v>
      </c>
      <c r="F237" cm="1">
        <f t="array" ref="F237">_xll.BDH("SPX Index",F$1,$A237,$A237)</f>
        <v>36.4298</v>
      </c>
      <c r="G237" cm="1">
        <f t="array" ref="G237">_xll.BDH(_xlfn.CONCAT(G$1," INDEX"),"PX_LAST",$A237,$A237)</f>
        <v>5.1017000000000001</v>
      </c>
      <c r="H237" cm="1">
        <f t="array" ref="H237">_xll.BDH(_xlfn.CONCAT(H$1," INDEX"),"PX_LAST",$A237,$A237)</f>
        <v>19.09</v>
      </c>
    </row>
    <row r="238" spans="1:8" x14ac:dyDescent="0.25">
      <c r="A238" s="1">
        <v>45461</v>
      </c>
      <c r="B238">
        <v>5487.03</v>
      </c>
      <c r="C238" cm="1">
        <f t="array" ref="C238">_xll.BDH("SPX Index",C$1,$A238,$A238)</f>
        <v>77.444699999999997</v>
      </c>
      <c r="D238" cm="1">
        <f t="array" ref="D238">_xll.BDH("SPX Index",D$1,$A238,$A238)</f>
        <v>80.0642</v>
      </c>
      <c r="E238" cm="1">
        <f t="array" ref="E238">_xll.BDH("SPX Index",E$1,$A238,$A238)</f>
        <v>18.460699999999999</v>
      </c>
      <c r="F238" cm="1">
        <f t="array" ref="F238">_xll.BDH("SPX Index",F$1,$A238,$A238)</f>
        <v>36.429499999999997</v>
      </c>
      <c r="G238" cm="1">
        <f t="array" ref="G238">_xll.BDH(_xlfn.CONCAT(G$1," INDEX"),"PX_LAST",$A238,$A238)</f>
        <v>5.0884999999999998</v>
      </c>
      <c r="H238" cm="1">
        <f t="array" ref="H238">_xll.BDH(_xlfn.CONCAT(H$1," INDEX"),"PX_LAST",$A238,$A238)</f>
        <v>18.59</v>
      </c>
    </row>
    <row r="239" spans="1:8" x14ac:dyDescent="0.25">
      <c r="A239" s="1">
        <v>45460</v>
      </c>
      <c r="B239">
        <v>5473.23</v>
      </c>
      <c r="C239" cm="1">
        <f t="array" ref="C239">_xll.BDH("SPX Index",C$1,$A239,$A239)</f>
        <v>77.449799999999996</v>
      </c>
      <c r="D239" cm="1">
        <f t="array" ref="D239">_xll.BDH("SPX Index",D$1,$A239,$A239)</f>
        <v>80.064999999999998</v>
      </c>
      <c r="E239" cm="1">
        <f t="array" ref="E239">_xll.BDH("SPX Index",E$1,$A239,$A239)</f>
        <v>18.4605</v>
      </c>
      <c r="F239" cm="1">
        <f t="array" ref="F239">_xll.BDH("SPX Index",F$1,$A239,$A239)</f>
        <v>36.429600000000001</v>
      </c>
      <c r="G239" cm="1">
        <f t="array" ref="G239">_xll.BDH(_xlfn.CONCAT(G$1," INDEX"),"PX_LAST",$A239,$A239)</f>
        <v>5.1086999999999998</v>
      </c>
      <c r="H239" cm="1">
        <f t="array" ref="H239">_xll.BDH(_xlfn.CONCAT(H$1," INDEX"),"PX_LAST",$A239,$A239)</f>
        <v>18.559999999999999</v>
      </c>
    </row>
    <row r="240" spans="1:8" x14ac:dyDescent="0.25">
      <c r="A240" s="1">
        <v>45457</v>
      </c>
      <c r="B240">
        <v>5431.6</v>
      </c>
      <c r="C240" cm="1">
        <f t="array" ref="C240">_xll.BDH("SPX Index",C$1,$A240,$A240)</f>
        <v>77.450299999999999</v>
      </c>
      <c r="D240" cm="1">
        <f t="array" ref="D240">_xll.BDH("SPX Index",D$1,$A240,$A240)</f>
        <v>80.049599999999998</v>
      </c>
      <c r="E240" cm="1">
        <f t="array" ref="E240">_xll.BDH("SPX Index",E$1,$A240,$A240)</f>
        <v>18.456199999999999</v>
      </c>
      <c r="F240" cm="1">
        <f t="array" ref="F240">_xll.BDH("SPX Index",F$1,$A240,$A240)</f>
        <v>36.429600000000001</v>
      </c>
      <c r="G240" cm="1">
        <f t="array" ref="G240">_xll.BDH(_xlfn.CONCAT(G$1," INDEX"),"PX_LAST",$A240,$A240)</f>
        <v>5.0574000000000003</v>
      </c>
      <c r="H240" cm="1">
        <f t="array" ref="H240">_xll.BDH(_xlfn.CONCAT(H$1," INDEX"),"PX_LAST",$A240,$A240)</f>
        <v>18.59</v>
      </c>
    </row>
    <row r="241" spans="1:8" x14ac:dyDescent="0.25">
      <c r="A241" s="1">
        <v>45456</v>
      </c>
      <c r="B241">
        <v>5433.74</v>
      </c>
      <c r="C241" cm="1">
        <f t="array" ref="C241">_xll.BDH("SPX Index",C$1,$A241,$A241)</f>
        <v>77.449100000000001</v>
      </c>
      <c r="D241" cm="1">
        <f t="array" ref="D241">_xll.BDH("SPX Index",D$1,$A241,$A241)</f>
        <v>80.023099999999999</v>
      </c>
      <c r="E241" cm="1">
        <f t="array" ref="E241">_xll.BDH("SPX Index",E$1,$A241,$A241)</f>
        <v>18.448599999999999</v>
      </c>
      <c r="F241" cm="1">
        <f t="array" ref="F241">_xll.BDH("SPX Index",F$1,$A241,$A241)</f>
        <v>36.429600000000001</v>
      </c>
      <c r="G241" cm="1">
        <f t="array" ref="G241">_xll.BDH(_xlfn.CONCAT(G$1," INDEX"),"PX_LAST",$A241,$A241)</f>
        <v>5.0671999999999997</v>
      </c>
      <c r="H241" cm="1">
        <f t="array" ref="H241">_xll.BDH(_xlfn.CONCAT(H$1," INDEX"),"PX_LAST",$A241,$A241)</f>
        <v>18.25</v>
      </c>
    </row>
    <row r="242" spans="1:8" x14ac:dyDescent="0.25">
      <c r="A242" s="1">
        <v>45455</v>
      </c>
      <c r="B242">
        <v>5421.03</v>
      </c>
      <c r="C242" cm="1">
        <f t="array" ref="C242">_xll.BDH("SPX Index",C$1,$A242,$A242)</f>
        <v>77.462000000000003</v>
      </c>
      <c r="D242" cm="1">
        <f t="array" ref="D242">_xll.BDH("SPX Index",D$1,$A242,$A242)</f>
        <v>80.001599999999996</v>
      </c>
      <c r="E242" cm="1">
        <f t="array" ref="E242">_xll.BDH("SPX Index",E$1,$A242,$A242)</f>
        <v>18.4465</v>
      </c>
      <c r="F242" cm="1">
        <f t="array" ref="F242">_xll.BDH("SPX Index",F$1,$A242,$A242)</f>
        <v>36.429499999999997</v>
      </c>
      <c r="G242" cm="1">
        <f t="array" ref="G242">_xll.BDH(_xlfn.CONCAT(G$1," INDEX"),"PX_LAST",$A242,$A242)</f>
        <v>5.1169000000000002</v>
      </c>
      <c r="H242" cm="1">
        <f t="array" ref="H242">_xll.BDH(_xlfn.CONCAT(H$1," INDEX"),"PX_LAST",$A242,$A242)</f>
        <v>18.21</v>
      </c>
    </row>
    <row r="243" spans="1:8" x14ac:dyDescent="0.25">
      <c r="A243" s="1">
        <v>45454</v>
      </c>
      <c r="B243">
        <v>5375.32</v>
      </c>
      <c r="C243" cm="1">
        <f t="array" ref="C243">_xll.BDH("SPX Index",C$1,$A243,$A243)</f>
        <v>77.473600000000005</v>
      </c>
      <c r="D243" cm="1">
        <f t="array" ref="D243">_xll.BDH("SPX Index",D$1,$A243,$A243)</f>
        <v>79.995099999999994</v>
      </c>
      <c r="E243" cm="1">
        <f t="array" ref="E243">_xll.BDH("SPX Index",E$1,$A243,$A243)</f>
        <v>18.446999999999999</v>
      </c>
      <c r="F243" cm="1">
        <f t="array" ref="F243">_xll.BDH("SPX Index",F$1,$A243,$A243)</f>
        <v>36.455300000000001</v>
      </c>
      <c r="G243" cm="1">
        <f t="array" ref="G243">_xll.BDH(_xlfn.CONCAT(G$1," INDEX"),"PX_LAST",$A243,$A243)</f>
        <v>5.1651999999999996</v>
      </c>
      <c r="H243" cm="1">
        <f t="array" ref="H243">_xll.BDH(_xlfn.CONCAT(H$1," INDEX"),"PX_LAST",$A243,$A243)</f>
        <v>18.25</v>
      </c>
    </row>
    <row r="244" spans="1:8" x14ac:dyDescent="0.25">
      <c r="A244" s="1">
        <v>45453</v>
      </c>
      <c r="B244">
        <v>5360.79</v>
      </c>
      <c r="C244" cm="1">
        <f t="array" ref="C244">_xll.BDH("SPX Index",C$1,$A244,$A244)</f>
        <v>77.499899999999997</v>
      </c>
      <c r="D244" cm="1">
        <f t="array" ref="D244">_xll.BDH("SPX Index",D$1,$A244,$A244)</f>
        <v>80.010000000000005</v>
      </c>
      <c r="E244" cm="1">
        <f t="array" ref="E244">_xll.BDH("SPX Index",E$1,$A244,$A244)</f>
        <v>18.445499999999999</v>
      </c>
      <c r="F244" cm="1">
        <f t="array" ref="F244">_xll.BDH("SPX Index",F$1,$A244,$A244)</f>
        <v>36.455300000000001</v>
      </c>
      <c r="G244" cm="1">
        <f t="array" ref="G244">_xll.BDH(_xlfn.CONCAT(G$1," INDEX"),"PX_LAST",$A244,$A244)</f>
        <v>5.1738999999999997</v>
      </c>
      <c r="H244" cm="1">
        <f t="array" ref="H244">_xll.BDH(_xlfn.CONCAT(H$1," INDEX"),"PX_LAST",$A244,$A244)</f>
        <v>18.32</v>
      </c>
    </row>
    <row r="245" spans="1:8" x14ac:dyDescent="0.25">
      <c r="A245" s="1">
        <v>45450</v>
      </c>
      <c r="B245">
        <v>5346.99</v>
      </c>
      <c r="C245" cm="1">
        <f t="array" ref="C245">_xll.BDH("SPX Index",C$1,$A245,$A245)</f>
        <v>77.520799999999994</v>
      </c>
      <c r="D245" cm="1">
        <f t="array" ref="D245">_xll.BDH("SPX Index",D$1,$A245,$A245)</f>
        <v>80.015900000000002</v>
      </c>
      <c r="E245" cm="1">
        <f t="array" ref="E245">_xll.BDH("SPX Index",E$1,$A245,$A245)</f>
        <v>18.4191</v>
      </c>
      <c r="F245" cm="1">
        <f t="array" ref="F245">_xll.BDH("SPX Index",F$1,$A245,$A245)</f>
        <v>36.456099999999999</v>
      </c>
      <c r="G245" cm="1">
        <f t="array" ref="G245">_xll.BDH(_xlfn.CONCAT(G$1," INDEX"),"PX_LAST",$A245,$A245)</f>
        <v>5.1689999999999996</v>
      </c>
      <c r="H245" cm="1">
        <f t="array" ref="H245">_xll.BDH(_xlfn.CONCAT(H$1," INDEX"),"PX_LAST",$A245,$A245)</f>
        <v>18.25</v>
      </c>
    </row>
    <row r="246" spans="1:8" x14ac:dyDescent="0.25">
      <c r="A246" s="1">
        <v>45449</v>
      </c>
      <c r="B246">
        <v>5352.96</v>
      </c>
      <c r="C246" cm="1">
        <f t="array" ref="C246">_xll.BDH("SPX Index",C$1,$A246,$A246)</f>
        <v>77.513900000000007</v>
      </c>
      <c r="D246" cm="1">
        <f t="array" ref="D246">_xll.BDH("SPX Index",D$1,$A246,$A246)</f>
        <v>80.021000000000001</v>
      </c>
      <c r="E246" cm="1">
        <f t="array" ref="E246">_xll.BDH("SPX Index",E$1,$A246,$A246)</f>
        <v>18.430599999999998</v>
      </c>
      <c r="F246" cm="1">
        <f t="array" ref="F246">_xll.BDH("SPX Index",F$1,$A246,$A246)</f>
        <v>36.456099999999999</v>
      </c>
      <c r="G246" cm="1">
        <f t="array" ref="G246">_xll.BDH(_xlfn.CONCAT(G$1," INDEX"),"PX_LAST",$A246,$A246)</f>
        <v>5.0834999999999999</v>
      </c>
      <c r="H246" cm="1">
        <f t="array" ref="H246">_xll.BDH(_xlfn.CONCAT(H$1," INDEX"),"PX_LAST",$A246,$A246)</f>
        <v>18.350000000000001</v>
      </c>
    </row>
    <row r="247" spans="1:8" x14ac:dyDescent="0.25">
      <c r="A247" s="1">
        <v>45448</v>
      </c>
      <c r="B247">
        <v>5354.03</v>
      </c>
      <c r="C247" cm="1">
        <f t="array" ref="C247">_xll.BDH("SPX Index",C$1,$A247,$A247)</f>
        <v>77.512699999999995</v>
      </c>
      <c r="D247" cm="1">
        <f t="array" ref="D247">_xll.BDH("SPX Index",D$1,$A247,$A247)</f>
        <v>80.068399999999997</v>
      </c>
      <c r="E247" cm="1">
        <f t="array" ref="E247">_xll.BDH("SPX Index",E$1,$A247,$A247)</f>
        <v>18.421399999999998</v>
      </c>
      <c r="F247" cm="1">
        <f t="array" ref="F247">_xll.BDH("SPX Index",F$1,$A247,$A247)</f>
        <v>36.456499999999998</v>
      </c>
      <c r="G247" cm="1">
        <f t="array" ref="G247">_xll.BDH(_xlfn.CONCAT(G$1," INDEX"),"PX_LAST",$A247,$A247)</f>
        <v>5.0921000000000003</v>
      </c>
      <c r="H247" cm="1">
        <f t="array" ref="H247">_xll.BDH(_xlfn.CONCAT(H$1," INDEX"),"PX_LAST",$A247,$A247)</f>
        <v>18.37</v>
      </c>
    </row>
    <row r="248" spans="1:8" x14ac:dyDescent="0.25">
      <c r="A248" s="1">
        <v>45447</v>
      </c>
      <c r="B248">
        <v>5291.34</v>
      </c>
      <c r="C248" cm="1">
        <f t="array" ref="C248">_xll.BDH("SPX Index",C$1,$A248,$A248)</f>
        <v>77.536600000000007</v>
      </c>
      <c r="D248" cm="1">
        <f t="array" ref="D248">_xll.BDH("SPX Index",D$1,$A248,$A248)</f>
        <v>80.0715</v>
      </c>
      <c r="E248" cm="1">
        <f t="array" ref="E248">_xll.BDH("SPX Index",E$1,$A248,$A248)</f>
        <v>18.431999999999999</v>
      </c>
      <c r="F248" cm="1">
        <f t="array" ref="F248">_xll.BDH("SPX Index",F$1,$A248,$A248)</f>
        <v>36.456400000000002</v>
      </c>
      <c r="G248" cm="1">
        <f t="array" ref="G248">_xll.BDH(_xlfn.CONCAT(G$1," INDEX"),"PX_LAST",$A248,$A248)</f>
        <v>5.1172000000000004</v>
      </c>
      <c r="H248" cm="1">
        <f t="array" ref="H248">_xll.BDH(_xlfn.CONCAT(H$1," INDEX"),"PX_LAST",$A248,$A248)</f>
        <v>18.61</v>
      </c>
    </row>
    <row r="249" spans="1:8" x14ac:dyDescent="0.25">
      <c r="A249" s="1">
        <v>45446</v>
      </c>
      <c r="B249">
        <v>5283.4</v>
      </c>
      <c r="C249" cm="1">
        <f t="array" ref="C249">_xll.BDH("SPX Index",C$1,$A249,$A249)</f>
        <v>77.554699999999997</v>
      </c>
      <c r="D249" cm="1">
        <f t="array" ref="D249">_xll.BDH("SPX Index",D$1,$A249,$A249)</f>
        <v>80.061700000000002</v>
      </c>
      <c r="E249" cm="1">
        <f t="array" ref="E249">_xll.BDH("SPX Index",E$1,$A249,$A249)</f>
        <v>18.430700000000002</v>
      </c>
      <c r="F249" cm="1">
        <f t="array" ref="F249">_xll.BDH("SPX Index",F$1,$A249,$A249)</f>
        <v>36.454700000000003</v>
      </c>
      <c r="G249" cm="1">
        <f t="array" ref="G249">_xll.BDH(_xlfn.CONCAT(G$1," INDEX"),"PX_LAST",$A249,$A249)</f>
        <v>5.1448999999999998</v>
      </c>
      <c r="H249" cm="1">
        <f t="array" ref="H249">_xll.BDH(_xlfn.CONCAT(H$1," INDEX"),"PX_LAST",$A249,$A249)</f>
        <v>18.5</v>
      </c>
    </row>
    <row r="250" spans="1:8" x14ac:dyDescent="0.25">
      <c r="A250" s="1">
        <v>45443</v>
      </c>
      <c r="B250">
        <v>5277.51</v>
      </c>
      <c r="C250" cm="1">
        <f t="array" ref="C250">_xll.BDH("SPX Index",C$1,$A250,$A250)</f>
        <v>77.556600000000003</v>
      </c>
      <c r="D250" cm="1">
        <f t="array" ref="D250">_xll.BDH("SPX Index",D$1,$A250,$A250)</f>
        <v>80.008700000000005</v>
      </c>
      <c r="E250" cm="1">
        <f t="array" ref="E250">_xll.BDH("SPX Index",E$1,$A250,$A250)</f>
        <v>18.429300000000001</v>
      </c>
      <c r="F250" cm="1">
        <f t="array" ref="F250">_xll.BDH("SPX Index",F$1,$A250,$A250)</f>
        <v>36.454300000000003</v>
      </c>
      <c r="G250" cm="1">
        <f t="array" ref="G250">_xll.BDH(_xlfn.CONCAT(G$1," INDEX"),"PX_LAST",$A250,$A250)</f>
        <v>5.1753999999999998</v>
      </c>
      <c r="H250" cm="1">
        <f t="array" ref="H250">_xll.BDH(_xlfn.CONCAT(H$1," INDEX"),"PX_LAST",$A250,$A250)</f>
        <v>18.399999999999999</v>
      </c>
    </row>
    <row r="251" spans="1:8" x14ac:dyDescent="0.25">
      <c r="A251" s="1">
        <v>45442</v>
      </c>
      <c r="B251">
        <v>5235.4799999999996</v>
      </c>
      <c r="C251" cm="1">
        <f t="array" ref="C251">_xll.BDH("SPX Index",C$1,$A251,$A251)</f>
        <v>77.639300000000006</v>
      </c>
      <c r="D251" cm="1">
        <f t="array" ref="D251">_xll.BDH("SPX Index",D$1,$A251,$A251)</f>
        <v>80.093000000000004</v>
      </c>
      <c r="E251" cm="1">
        <f t="array" ref="E251">_xll.BDH("SPX Index",E$1,$A251,$A251)</f>
        <v>18.433399999999999</v>
      </c>
      <c r="F251" cm="1">
        <f t="array" ref="F251">_xll.BDH("SPX Index",F$1,$A251,$A251)</f>
        <v>36.454700000000003</v>
      </c>
      <c r="G251" cm="1">
        <f t="array" ref="G251">_xll.BDH(_xlfn.CONCAT(G$1," INDEX"),"PX_LAST",$A251,$A251)</f>
        <v>5.1879999999999997</v>
      </c>
      <c r="H251" cm="1">
        <f t="array" ref="H251">_xll.BDH(_xlfn.CONCAT(H$1," INDEX"),"PX_LAST",$A251,$A251)</f>
        <v>18.899999999999999</v>
      </c>
    </row>
    <row r="252" spans="1:8" x14ac:dyDescent="0.25">
      <c r="A252" s="1">
        <v>45441</v>
      </c>
      <c r="B252">
        <v>5266.95</v>
      </c>
      <c r="C252" cm="1">
        <f t="array" ref="C252">_xll.BDH("SPX Index",C$1,$A252,$A252)</f>
        <v>77.610600000000005</v>
      </c>
      <c r="D252" cm="1">
        <f t="array" ref="D252">_xll.BDH("SPX Index",D$1,$A252,$A252)</f>
        <v>80.073800000000006</v>
      </c>
      <c r="E252" cm="1">
        <f t="array" ref="E252">_xll.BDH("SPX Index",E$1,$A252,$A252)</f>
        <v>18.436499999999999</v>
      </c>
      <c r="F252" cm="1">
        <f t="array" ref="F252">_xll.BDH("SPX Index",F$1,$A252,$A252)</f>
        <v>36.4146</v>
      </c>
      <c r="G252" cm="1">
        <f t="array" ref="G252">_xll.BDH(_xlfn.CONCAT(G$1," INDEX"),"PX_LAST",$A252,$A252)</f>
        <v>5.2130999999999998</v>
      </c>
      <c r="H252" cm="1">
        <f t="array" ref="H252">_xll.BDH(_xlfn.CONCAT(H$1," INDEX"),"PX_LAST",$A252,$A252)</f>
        <v>18.89</v>
      </c>
    </row>
    <row r="253" spans="1:8" x14ac:dyDescent="0.25">
      <c r="A253" s="1">
        <v>45440</v>
      </c>
      <c r="B253">
        <v>5306.04</v>
      </c>
      <c r="C253" cm="1">
        <f t="array" ref="C253">_xll.BDH("SPX Index",C$1,$A253,$A253)</f>
        <v>77.616299999999995</v>
      </c>
      <c r="D253" cm="1">
        <f t="array" ref="D253">_xll.BDH("SPX Index",D$1,$A253,$A253)</f>
        <v>80.099100000000007</v>
      </c>
      <c r="E253" cm="1">
        <f t="array" ref="E253">_xll.BDH("SPX Index",E$1,$A253,$A253)</f>
        <v>18.440300000000001</v>
      </c>
      <c r="F253" cm="1">
        <f t="array" ref="F253">_xll.BDH("SPX Index",F$1,$A253,$A253)</f>
        <v>36.438899999999997</v>
      </c>
      <c r="G253" cm="1">
        <f t="array" ref="G253">_xll.BDH(_xlfn.CONCAT(G$1," INDEX"),"PX_LAST",$A253,$A253)</f>
        <v>5.2135999999999996</v>
      </c>
      <c r="H253" cm="1">
        <f t="array" ref="H253">_xll.BDH(_xlfn.CONCAT(H$1," INDEX"),"PX_LAST",$A253,$A253)</f>
        <v>18.559999999999999</v>
      </c>
    </row>
    <row r="254" spans="1:8" x14ac:dyDescent="0.25">
      <c r="A254" s="1">
        <v>45436</v>
      </c>
      <c r="B254">
        <v>5304.72</v>
      </c>
      <c r="C254" cm="1">
        <f t="array" ref="C254">_xll.BDH("SPX Index",C$1,$A254,$A254)</f>
        <v>77.650499999999994</v>
      </c>
      <c r="D254" cm="1">
        <f t="array" ref="D254">_xll.BDH("SPX Index",D$1,$A254,$A254)</f>
        <v>80.119200000000006</v>
      </c>
      <c r="E254" cm="1">
        <f t="array" ref="E254">_xll.BDH("SPX Index",E$1,$A254,$A254)</f>
        <v>18.447199999999999</v>
      </c>
      <c r="F254" cm="1">
        <f t="array" ref="F254">_xll.BDH("SPX Index",F$1,$A254,$A254)</f>
        <v>36.438899999999997</v>
      </c>
      <c r="G254" cm="1">
        <f t="array" ref="G254">_xll.BDH(_xlfn.CONCAT(G$1," INDEX"),"PX_LAST",$A254,$A254)</f>
        <v>5.1950000000000003</v>
      </c>
      <c r="H254" cm="1">
        <f t="array" ref="H254">_xll.BDH(_xlfn.CONCAT(H$1," INDEX"),"PX_LAST",$A254,$A254)</f>
        <v>18.440000000000001</v>
      </c>
    </row>
    <row r="255" spans="1:8" x14ac:dyDescent="0.25">
      <c r="A255" s="1">
        <v>45435</v>
      </c>
      <c r="B255">
        <v>5267.84</v>
      </c>
      <c r="C255" cm="1">
        <f t="array" ref="C255">_xll.BDH("SPX Index",C$1,$A255,$A255)</f>
        <v>77.694500000000005</v>
      </c>
      <c r="D255" cm="1">
        <f t="array" ref="D255">_xll.BDH("SPX Index",D$1,$A255,$A255)</f>
        <v>80.138900000000007</v>
      </c>
      <c r="E255" cm="1">
        <f t="array" ref="E255">_xll.BDH("SPX Index",E$1,$A255,$A255)</f>
        <v>18.443999999999999</v>
      </c>
      <c r="F255" cm="1">
        <f t="array" ref="F255">_xll.BDH("SPX Index",F$1,$A255,$A255)</f>
        <v>36.438800000000001</v>
      </c>
      <c r="G255" cm="1">
        <f t="array" ref="G255">_xll.BDH(_xlfn.CONCAT(G$1," INDEX"),"PX_LAST",$A255,$A255)</f>
        <v>5.1971999999999996</v>
      </c>
      <c r="H255" cm="1">
        <f t="array" ref="H255">_xll.BDH(_xlfn.CONCAT(H$1," INDEX"),"PX_LAST",$A255,$A255)</f>
        <v>18.66</v>
      </c>
    </row>
    <row r="256" spans="1:8" x14ac:dyDescent="0.25">
      <c r="A256" s="1">
        <v>45434</v>
      </c>
      <c r="B256">
        <v>5307.01</v>
      </c>
      <c r="C256" cm="1">
        <f t="array" ref="C256">_xll.BDH("SPX Index",C$1,$A256,$A256)</f>
        <v>77.7059</v>
      </c>
      <c r="D256" cm="1">
        <f t="array" ref="D256">_xll.BDH("SPX Index",D$1,$A256,$A256)</f>
        <v>80.150599999999997</v>
      </c>
      <c r="E256" cm="1">
        <f t="array" ref="E256">_xll.BDH("SPX Index",E$1,$A256,$A256)</f>
        <v>18.421900000000001</v>
      </c>
      <c r="F256" cm="1">
        <f t="array" ref="F256">_xll.BDH("SPX Index",F$1,$A256,$A256)</f>
        <v>36.407600000000002</v>
      </c>
      <c r="G256" cm="1">
        <f t="array" ref="G256">_xll.BDH(_xlfn.CONCAT(G$1," INDEX"),"PX_LAST",$A256,$A256)</f>
        <v>5.1567999999999996</v>
      </c>
      <c r="H256" cm="1">
        <f t="array" ref="H256">_xll.BDH(_xlfn.CONCAT(H$1," INDEX"),"PX_LAST",$A256,$A256)</f>
        <v>18.47</v>
      </c>
    </row>
    <row r="257" spans="1:8" x14ac:dyDescent="0.25">
      <c r="A257" s="1">
        <v>45433</v>
      </c>
      <c r="B257">
        <v>5321.41</v>
      </c>
      <c r="C257" cm="1">
        <f t="array" ref="C257">_xll.BDH("SPX Index",C$1,$A257,$A257)</f>
        <v>77.664299999999997</v>
      </c>
      <c r="D257" cm="1">
        <f t="array" ref="D257">_xll.BDH("SPX Index",D$1,$A257,$A257)</f>
        <v>80.105199999999996</v>
      </c>
      <c r="E257" cm="1">
        <f t="array" ref="E257">_xll.BDH("SPX Index",E$1,$A257,$A257)</f>
        <v>18.3887</v>
      </c>
      <c r="F257" cm="1">
        <f t="array" ref="F257">_xll.BDH("SPX Index",F$1,$A257,$A257)</f>
        <v>35.563299999999998</v>
      </c>
      <c r="G257" cm="1">
        <f t="array" ref="G257">_xll.BDH(_xlfn.CONCAT(G$1," INDEX"),"PX_LAST",$A257,$A257)</f>
        <v>5.1355000000000004</v>
      </c>
      <c r="H257" cm="1">
        <f t="array" ref="H257">_xll.BDH(_xlfn.CONCAT(H$1," INDEX"),"PX_LAST",$A257,$A257)</f>
        <v>18.27</v>
      </c>
    </row>
    <row r="258" spans="1:8" x14ac:dyDescent="0.25">
      <c r="A258" s="1">
        <v>45432</v>
      </c>
      <c r="B258">
        <v>5308.13</v>
      </c>
      <c r="C258" cm="1">
        <f t="array" ref="C258">_xll.BDH("SPX Index",C$1,$A258,$A258)</f>
        <v>77.5762</v>
      </c>
      <c r="D258" cm="1">
        <f t="array" ref="D258">_xll.BDH("SPX Index",D$1,$A258,$A258)</f>
        <v>80.0916</v>
      </c>
      <c r="E258" cm="1">
        <f t="array" ref="E258">_xll.BDH("SPX Index",E$1,$A258,$A258)</f>
        <v>18.383299999999998</v>
      </c>
      <c r="F258" cm="1">
        <f t="array" ref="F258">_xll.BDH("SPX Index",F$1,$A258,$A258)</f>
        <v>35.563299999999998</v>
      </c>
      <c r="G258" cm="1">
        <f t="array" ref="G258">_xll.BDH(_xlfn.CONCAT(G$1," INDEX"),"PX_LAST",$A258,$A258)</f>
        <v>5.1470000000000002</v>
      </c>
      <c r="H258" cm="1">
        <f t="array" ref="H258">_xll.BDH(_xlfn.CONCAT(H$1," INDEX"),"PX_LAST",$A258,$A258)</f>
        <v>18.329999999999998</v>
      </c>
    </row>
    <row r="259" spans="1:8" x14ac:dyDescent="0.25">
      <c r="A259" s="1">
        <v>45429</v>
      </c>
      <c r="B259">
        <v>5303.27</v>
      </c>
      <c r="C259" cm="1">
        <f t="array" ref="C259">_xll.BDH("SPX Index",C$1,$A259,$A259)</f>
        <v>77.5334</v>
      </c>
      <c r="D259" cm="1">
        <f t="array" ref="D259">_xll.BDH("SPX Index",D$1,$A259,$A259)</f>
        <v>80.046800000000005</v>
      </c>
      <c r="E259" cm="1">
        <f t="array" ref="E259">_xll.BDH("SPX Index",E$1,$A259,$A259)</f>
        <v>18.4011</v>
      </c>
      <c r="F259" cm="1">
        <f t="array" ref="F259">_xll.BDH("SPX Index",F$1,$A259,$A259)</f>
        <v>35.563299999999998</v>
      </c>
      <c r="G259" cm="1">
        <f t="array" ref="G259">_xll.BDH(_xlfn.CONCAT(G$1," INDEX"),"PX_LAST",$A259,$A259)</f>
        <v>5.1284000000000001</v>
      </c>
      <c r="H259" cm="1">
        <f t="array" ref="H259">_xll.BDH(_xlfn.CONCAT(H$1," INDEX"),"PX_LAST",$A259,$A259)</f>
        <v>18.309999999999999</v>
      </c>
    </row>
    <row r="260" spans="1:8" x14ac:dyDescent="0.25">
      <c r="A260" s="1">
        <v>45428</v>
      </c>
      <c r="B260">
        <v>5297.1</v>
      </c>
      <c r="C260" cm="1">
        <f t="array" ref="C260">_xll.BDH("SPX Index",C$1,$A260,$A260)</f>
        <v>77.524199999999993</v>
      </c>
      <c r="D260" cm="1">
        <f t="array" ref="D260">_xll.BDH("SPX Index",D$1,$A260,$A260)</f>
        <v>80.038899999999998</v>
      </c>
      <c r="E260" cm="1">
        <f t="array" ref="E260">_xll.BDH("SPX Index",E$1,$A260,$A260)</f>
        <v>18.4117</v>
      </c>
      <c r="F260" cm="1">
        <f t="array" ref="F260">_xll.BDH("SPX Index",F$1,$A260,$A260)</f>
        <v>35.563299999999998</v>
      </c>
      <c r="G260" cm="1">
        <f t="array" ref="G260">_xll.BDH(_xlfn.CONCAT(G$1," INDEX"),"PX_LAST",$A260,$A260)</f>
        <v>5.1162999999999998</v>
      </c>
      <c r="H260" cm="1">
        <f t="array" ref="H260">_xll.BDH(_xlfn.CONCAT(H$1," INDEX"),"PX_LAST",$A260,$A260)</f>
        <v>18.37</v>
      </c>
    </row>
    <row r="261" spans="1:8" x14ac:dyDescent="0.25">
      <c r="A261" s="1">
        <v>45427</v>
      </c>
      <c r="B261">
        <v>5308.15</v>
      </c>
      <c r="C261" cm="1">
        <f t="array" ref="C261">_xll.BDH("SPX Index",C$1,$A261,$A261)</f>
        <v>77.2363</v>
      </c>
      <c r="D261" cm="1">
        <f t="array" ref="D261">_xll.BDH("SPX Index",D$1,$A261,$A261)</f>
        <v>80.007099999999994</v>
      </c>
      <c r="E261" cm="1">
        <f t="array" ref="E261">_xll.BDH("SPX Index",E$1,$A261,$A261)</f>
        <v>18.435400000000001</v>
      </c>
      <c r="F261" cm="1">
        <f t="array" ref="F261">_xll.BDH("SPX Index",F$1,$A261,$A261)</f>
        <v>35.563299999999998</v>
      </c>
      <c r="G261" cm="1">
        <f t="array" ref="G261">_xll.BDH(_xlfn.CONCAT(G$1," INDEX"),"PX_LAST",$A261,$A261)</f>
        <v>5.0841000000000003</v>
      </c>
      <c r="H261" cm="1">
        <f t="array" ref="H261">_xll.BDH(_xlfn.CONCAT(H$1," INDEX"),"PX_LAST",$A261,$A261)</f>
        <v>18.28</v>
      </c>
    </row>
    <row r="262" spans="1:8" x14ac:dyDescent="0.25">
      <c r="A262" s="1">
        <v>45426</v>
      </c>
      <c r="B262">
        <v>5246.68</v>
      </c>
      <c r="C262" cm="1">
        <f t="array" ref="C262">_xll.BDH("SPX Index",C$1,$A262,$A262)</f>
        <v>77.233599999999996</v>
      </c>
      <c r="D262" cm="1">
        <f t="array" ref="D262">_xll.BDH("SPX Index",D$1,$A262,$A262)</f>
        <v>79.855099999999993</v>
      </c>
      <c r="E262" cm="1">
        <f t="array" ref="E262">_xll.BDH("SPX Index",E$1,$A262,$A262)</f>
        <v>18.5029</v>
      </c>
      <c r="F262" cm="1">
        <f t="array" ref="F262">_xll.BDH("SPX Index",F$1,$A262,$A262)</f>
        <v>35.563299999999998</v>
      </c>
      <c r="G262" cm="1">
        <f t="array" ref="G262">_xll.BDH(_xlfn.CONCAT(G$1," INDEX"),"PX_LAST",$A262,$A262)</f>
        <v>5.1624999999999996</v>
      </c>
      <c r="H262" cm="1">
        <f t="array" ref="H262">_xll.BDH(_xlfn.CONCAT(H$1," INDEX"),"PX_LAST",$A262,$A262)</f>
        <v>18.72</v>
      </c>
    </row>
    <row r="263" spans="1:8" x14ac:dyDescent="0.25">
      <c r="A263" s="1">
        <v>45425</v>
      </c>
      <c r="B263">
        <v>5221.42</v>
      </c>
      <c r="C263" cm="1">
        <f t="array" ref="C263">_xll.BDH("SPX Index",C$1,$A263,$A263)</f>
        <v>77.322800000000001</v>
      </c>
      <c r="D263" cm="1">
        <f t="array" ref="D263">_xll.BDH("SPX Index",D$1,$A263,$A263)</f>
        <v>79.8977</v>
      </c>
      <c r="E263" cm="1">
        <f t="array" ref="E263">_xll.BDH("SPX Index",E$1,$A263,$A263)</f>
        <v>18.504999999999999</v>
      </c>
      <c r="F263" cm="1">
        <f t="array" ref="F263">_xll.BDH("SPX Index",F$1,$A263,$A263)</f>
        <v>35.563299999999998</v>
      </c>
      <c r="G263" cm="1">
        <f t="array" ref="G263">_xll.BDH(_xlfn.CONCAT(G$1," INDEX"),"PX_LAST",$A263,$A263)</f>
        <v>5.1765999999999996</v>
      </c>
      <c r="H263" cm="1">
        <f t="array" ref="H263">_xll.BDH(_xlfn.CONCAT(H$1," INDEX"),"PX_LAST",$A263,$A263)</f>
        <v>18.649999999999999</v>
      </c>
    </row>
    <row r="264" spans="1:8" x14ac:dyDescent="0.25">
      <c r="A264" s="1">
        <v>45422</v>
      </c>
      <c r="B264">
        <v>5222.68</v>
      </c>
      <c r="C264" cm="1">
        <f t="array" ref="C264">_xll.BDH("SPX Index",C$1,$A264,$A264)</f>
        <v>77.299099999999996</v>
      </c>
      <c r="D264" cm="1">
        <f t="array" ref="D264">_xll.BDH("SPX Index",D$1,$A264,$A264)</f>
        <v>79.853499999999997</v>
      </c>
      <c r="E264" cm="1">
        <f t="array" ref="E264">_xll.BDH("SPX Index",E$1,$A264,$A264)</f>
        <v>18.513999999999999</v>
      </c>
      <c r="F264" cm="1">
        <f t="array" ref="F264">_xll.BDH("SPX Index",F$1,$A264,$A264)</f>
        <v>35.563299999999998</v>
      </c>
      <c r="G264" cm="1">
        <f t="array" ref="G264">_xll.BDH(_xlfn.CONCAT(G$1," INDEX"),"PX_LAST",$A264,$A264)</f>
        <v>5.1717000000000004</v>
      </c>
      <c r="H264" cm="1">
        <f t="array" ref="H264">_xll.BDH(_xlfn.CONCAT(H$1," INDEX"),"PX_LAST",$A264,$A264)</f>
        <v>18.68</v>
      </c>
    </row>
    <row r="265" spans="1:8" x14ac:dyDescent="0.25">
      <c r="A265" s="1">
        <v>45421</v>
      </c>
      <c r="B265">
        <v>5214.08</v>
      </c>
      <c r="C265" cm="1">
        <f t="array" ref="C265">_xll.BDH("SPX Index",C$1,$A265,$A265)</f>
        <v>77.290199999999999</v>
      </c>
      <c r="D265" cm="1">
        <f t="array" ref="D265">_xll.BDH("SPX Index",D$1,$A265,$A265)</f>
        <v>79.864900000000006</v>
      </c>
      <c r="E265" cm="1">
        <f t="array" ref="E265">_xll.BDH("SPX Index",E$1,$A265,$A265)</f>
        <v>18.5121</v>
      </c>
      <c r="F265" cm="1">
        <f t="array" ref="F265">_xll.BDH("SPX Index",F$1,$A265,$A265)</f>
        <v>35.563299999999998</v>
      </c>
      <c r="G265" cm="1">
        <f t="array" ref="G265">_xll.BDH(_xlfn.CONCAT(G$1," INDEX"),"PX_LAST",$A265,$A265)</f>
        <v>5.1352000000000002</v>
      </c>
      <c r="H265" cm="1">
        <f t="array" ref="H265">_xll.BDH(_xlfn.CONCAT(H$1," INDEX"),"PX_LAST",$A265,$A265)</f>
        <v>18.55</v>
      </c>
    </row>
    <row r="266" spans="1:8" x14ac:dyDescent="0.25">
      <c r="A266" s="1">
        <v>45420</v>
      </c>
      <c r="B266">
        <v>5187.67</v>
      </c>
      <c r="C266" cm="1">
        <f t="array" ref="C266">_xll.BDH("SPX Index",C$1,$A266,$A266)</f>
        <v>77.210099999999997</v>
      </c>
      <c r="D266" cm="1">
        <f t="array" ref="D266">_xll.BDH("SPX Index",D$1,$A266,$A266)</f>
        <v>79.7697</v>
      </c>
      <c r="E266" cm="1">
        <f t="array" ref="E266">_xll.BDH("SPX Index",E$1,$A266,$A266)</f>
        <v>18.517700000000001</v>
      </c>
      <c r="F266" cm="1">
        <f t="array" ref="F266">_xll.BDH("SPX Index",F$1,$A266,$A266)</f>
        <v>35.563299999999998</v>
      </c>
      <c r="G266" cm="1">
        <f t="array" ref="G266">_xll.BDH(_xlfn.CONCAT(G$1," INDEX"),"PX_LAST",$A266,$A266)</f>
        <v>5.1410999999999998</v>
      </c>
      <c r="H266" cm="1">
        <f t="array" ref="H266">_xll.BDH(_xlfn.CONCAT(H$1," INDEX"),"PX_LAST",$A266,$A266)</f>
        <v>18.690000000000001</v>
      </c>
    </row>
    <row r="267" spans="1:8" x14ac:dyDescent="0.25">
      <c r="A267" s="1">
        <v>45419</v>
      </c>
      <c r="B267">
        <v>5187.7</v>
      </c>
      <c r="C267" cm="1">
        <f t="array" ref="C267">_xll.BDH("SPX Index",C$1,$A267,$A267)</f>
        <v>77.373999999999995</v>
      </c>
      <c r="D267" cm="1">
        <f t="array" ref="D267">_xll.BDH("SPX Index",D$1,$A267,$A267)</f>
        <v>79.924099999999996</v>
      </c>
      <c r="E267" cm="1">
        <f t="array" ref="E267">_xll.BDH("SPX Index",E$1,$A267,$A267)</f>
        <v>18.542999999999999</v>
      </c>
      <c r="F267" cm="1">
        <f t="array" ref="F267">_xll.BDH("SPX Index",F$1,$A267,$A267)</f>
        <v>35.563299999999998</v>
      </c>
      <c r="G267" cm="1">
        <f t="array" ref="G267">_xll.BDH(_xlfn.CONCAT(G$1," INDEX"),"PX_LAST",$A267,$A267)</f>
        <v>5.1388999999999996</v>
      </c>
      <c r="H267" cm="1">
        <f t="array" ref="H267">_xll.BDH(_xlfn.CONCAT(H$1," INDEX"),"PX_LAST",$A267,$A267)</f>
        <v>18.87</v>
      </c>
    </row>
    <row r="268" spans="1:8" x14ac:dyDescent="0.25">
      <c r="A268" s="1">
        <v>45418</v>
      </c>
      <c r="B268">
        <v>5180.74</v>
      </c>
      <c r="C268" cm="1">
        <f t="array" ref="C268">_xll.BDH("SPX Index",C$1,$A268,$A268)</f>
        <v>77.369299999999996</v>
      </c>
      <c r="D268" cm="1">
        <f t="array" ref="D268">_xll.BDH("SPX Index",D$1,$A268,$A268)</f>
        <v>79.924499999999995</v>
      </c>
      <c r="E268" cm="1">
        <f t="array" ref="E268">_xll.BDH("SPX Index",E$1,$A268,$A268)</f>
        <v>18.556999999999999</v>
      </c>
      <c r="F268" cm="1">
        <f t="array" ref="F268">_xll.BDH("SPX Index",F$1,$A268,$A268)</f>
        <v>35.563299999999998</v>
      </c>
      <c r="G268" cm="1">
        <f t="array" ref="G268">_xll.BDH(_xlfn.CONCAT(G$1," INDEX"),"PX_LAST",$A268,$A268)</f>
        <v>5.1150000000000002</v>
      </c>
      <c r="H268" cm="1">
        <f t="array" ref="H268">_xll.BDH(_xlfn.CONCAT(H$1," INDEX"),"PX_LAST",$A268,$A268)</f>
        <v>18.88</v>
      </c>
    </row>
    <row r="269" spans="1:8" x14ac:dyDescent="0.25">
      <c r="A269" s="1">
        <v>45415</v>
      </c>
      <c r="B269">
        <v>5127.79</v>
      </c>
      <c r="C269" cm="1">
        <f t="array" ref="C269">_xll.BDH("SPX Index",C$1,$A269,$A269)</f>
        <v>75.761899999999997</v>
      </c>
      <c r="D269" cm="1">
        <f t="array" ref="D269">_xll.BDH("SPX Index",D$1,$A269,$A269)</f>
        <v>79.636399999999995</v>
      </c>
      <c r="E269" cm="1">
        <f t="array" ref="E269">_xll.BDH("SPX Index",E$1,$A269,$A269)</f>
        <v>18.560700000000001</v>
      </c>
      <c r="F269" cm="1">
        <f t="array" ref="F269">_xll.BDH("SPX Index",F$1,$A269,$A269)</f>
        <v>35.563299999999998</v>
      </c>
      <c r="G269" cm="1">
        <f t="array" ref="G269">_xll.BDH(_xlfn.CONCAT(G$1," INDEX"),"PX_LAST",$A269,$A269)</f>
        <v>5.1181999999999999</v>
      </c>
      <c r="H269" cm="1">
        <f t="array" ref="H269">_xll.BDH(_xlfn.CONCAT(H$1," INDEX"),"PX_LAST",$A269,$A269)</f>
        <v>18.98</v>
      </c>
    </row>
    <row r="270" spans="1:8" x14ac:dyDescent="0.25">
      <c r="A270" s="1">
        <v>45414</v>
      </c>
      <c r="B270">
        <v>5064.2</v>
      </c>
      <c r="C270" cm="1">
        <f t="array" ref="C270">_xll.BDH("SPX Index",C$1,$A270,$A270)</f>
        <v>75.779700000000005</v>
      </c>
      <c r="D270" cm="1">
        <f t="array" ref="D270">_xll.BDH("SPX Index",D$1,$A270,$A270)</f>
        <v>79.650700000000001</v>
      </c>
      <c r="E270" cm="1">
        <f t="array" ref="E270">_xll.BDH("SPX Index",E$1,$A270,$A270)</f>
        <v>18.5655</v>
      </c>
      <c r="F270" cm="1">
        <f t="array" ref="F270">_xll.BDH("SPX Index",F$1,$A270,$A270)</f>
        <v>35.563299999999998</v>
      </c>
      <c r="G270" cm="1">
        <f t="array" ref="G270">_xll.BDH(_xlfn.CONCAT(G$1," INDEX"),"PX_LAST",$A270,$A270)</f>
        <v>5.1578999999999997</v>
      </c>
      <c r="H270" cm="1">
        <f t="array" ref="H270">_xll.BDH(_xlfn.CONCAT(H$1," INDEX"),"PX_LAST",$A270,$A270)</f>
        <v>19.399999999999999</v>
      </c>
    </row>
    <row r="271" spans="1:8" x14ac:dyDescent="0.25">
      <c r="A271" s="1">
        <v>45413</v>
      </c>
      <c r="B271">
        <v>5018.3900000000003</v>
      </c>
      <c r="C271" cm="1">
        <f t="array" ref="C271">_xll.BDH("SPX Index",C$1,$A271,$A271)</f>
        <v>75.763400000000004</v>
      </c>
      <c r="D271" cm="1">
        <f t="array" ref="D271">_xll.BDH("SPX Index",D$1,$A271,$A271)</f>
        <v>79.571700000000007</v>
      </c>
      <c r="E271" cm="1">
        <f t="array" ref="E271">_xll.BDH("SPX Index",E$1,$A271,$A271)</f>
        <v>18.543600000000001</v>
      </c>
      <c r="F271" cm="1">
        <f t="array" ref="F271">_xll.BDH("SPX Index",F$1,$A271,$A271)</f>
        <v>35.563299999999998</v>
      </c>
      <c r="G271" cm="1">
        <f t="array" ref="G271">_xll.BDH(_xlfn.CONCAT(G$1," INDEX"),"PX_LAST",$A271,$A271)</f>
        <v>5.1829999999999998</v>
      </c>
      <c r="H271" cm="1">
        <f t="array" ref="H271">_xll.BDH(_xlfn.CONCAT(H$1," INDEX"),"PX_LAST",$A271,$A271)</f>
        <v>19.72</v>
      </c>
    </row>
    <row r="272" spans="1:8" x14ac:dyDescent="0.25">
      <c r="A272" s="1">
        <v>45412</v>
      </c>
      <c r="B272">
        <v>5035.6899999999996</v>
      </c>
      <c r="C272" cm="1">
        <f t="array" ref="C272">_xll.BDH("SPX Index",C$1,$A272,$A272)</f>
        <v>75.741399999999999</v>
      </c>
      <c r="D272" cm="1">
        <f t="array" ref="D272">_xll.BDH("SPX Index",D$1,$A272,$A272)</f>
        <v>79.602000000000004</v>
      </c>
      <c r="E272" cm="1">
        <f t="array" ref="E272">_xll.BDH("SPX Index",E$1,$A272,$A272)</f>
        <v>18.551400000000001</v>
      </c>
      <c r="F272" cm="1">
        <f t="array" ref="F272">_xll.BDH("SPX Index",F$1,$A272,$A272)</f>
        <v>35.563299999999998</v>
      </c>
      <c r="G272" cm="1">
        <f t="array" ref="G272">_xll.BDH(_xlfn.CONCAT(G$1," INDEX"),"PX_LAST",$A272,$A272)</f>
        <v>5.2354000000000003</v>
      </c>
      <c r="H272" cm="1">
        <f t="array" ref="H272">_xll.BDH(_xlfn.CONCAT(H$1," INDEX"),"PX_LAST",$A272,$A272)</f>
        <v>19.649999999999999</v>
      </c>
    </row>
    <row r="273" spans="1:8" x14ac:dyDescent="0.25">
      <c r="A273" s="1">
        <v>45411</v>
      </c>
      <c r="B273">
        <v>5116.17</v>
      </c>
      <c r="C273" cm="1">
        <f t="array" ref="C273">_xll.BDH("SPX Index",C$1,$A273,$A273)</f>
        <v>75.745900000000006</v>
      </c>
      <c r="D273" cm="1">
        <f t="array" ref="D273">_xll.BDH("SPX Index",D$1,$A273,$A273)</f>
        <v>79.602400000000003</v>
      </c>
      <c r="E273" cm="1">
        <f t="array" ref="E273">_xll.BDH("SPX Index",E$1,$A273,$A273)</f>
        <v>18.468900000000001</v>
      </c>
      <c r="F273" cm="1">
        <f t="array" ref="F273">_xll.BDH("SPX Index",F$1,$A273,$A273)</f>
        <v>35.563299999999998</v>
      </c>
      <c r="G273" cm="1">
        <f t="array" ref="G273">_xll.BDH(_xlfn.CONCAT(G$1," INDEX"),"PX_LAST",$A273,$A273)</f>
        <v>5.1896000000000004</v>
      </c>
      <c r="H273" cm="1">
        <f t="array" ref="H273">_xll.BDH(_xlfn.CONCAT(H$1," INDEX"),"PX_LAST",$A273,$A273)</f>
        <v>19.440000000000001</v>
      </c>
    </row>
    <row r="274" spans="1:8" x14ac:dyDescent="0.25">
      <c r="A274" s="1"/>
    </row>
    <row r="275" spans="1:8" x14ac:dyDescent="0.25">
      <c r="A275" s="1"/>
    </row>
    <row r="276" spans="1:8" x14ac:dyDescent="0.25">
      <c r="A276" s="1"/>
    </row>
    <row r="277" spans="1:8" x14ac:dyDescent="0.25">
      <c r="A277" s="1"/>
    </row>
    <row r="278" spans="1:8" x14ac:dyDescent="0.25">
      <c r="A278" s="1"/>
    </row>
    <row r="279" spans="1:8" x14ac:dyDescent="0.25">
      <c r="A279" s="1"/>
    </row>
    <row r="280" spans="1:8" x14ac:dyDescent="0.25">
      <c r="A280" s="1"/>
    </row>
    <row r="281" spans="1:8" x14ac:dyDescent="0.25">
      <c r="A281" s="1"/>
    </row>
    <row r="282" spans="1:8" x14ac:dyDescent="0.25">
      <c r="A282" s="1"/>
    </row>
    <row r="283" spans="1:8" x14ac:dyDescent="0.25">
      <c r="A283" s="1"/>
    </row>
    <row r="284" spans="1:8" x14ac:dyDescent="0.25">
      <c r="A284" s="1"/>
    </row>
    <row r="285" spans="1:8" x14ac:dyDescent="0.25">
      <c r="A285" s="1"/>
    </row>
    <row r="286" spans="1:8" x14ac:dyDescent="0.25">
      <c r="A286" s="1"/>
    </row>
    <row r="287" spans="1:8" x14ac:dyDescent="0.25">
      <c r="A287" s="1"/>
    </row>
    <row r="288" spans="1:8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Operations PERSONAL</dc:creator>
  <cp:lastModifiedBy>Operations PERSONAL</cp:lastModifiedBy>
  <dcterms:created xsi:type="dcterms:W3CDTF">2025-05-29T08:17:13Z</dcterms:created>
  <dcterms:modified xsi:type="dcterms:W3CDTF">2025-05-29T08:36:23Z</dcterms:modified>
</cp:coreProperties>
</file>